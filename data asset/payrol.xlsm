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11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onifirmansyah/Projects/Website/send-payrol/data asset/"/>
    </mc:Choice>
  </mc:AlternateContent>
  <xr:revisionPtr revIDLastSave="0" documentId="8_{B0BE1F5F-D14A-6B45-B525-1334F618E2BB}" xr6:coauthVersionLast="47" xr6:coauthVersionMax="47" xr10:uidLastSave="{00000000-0000-0000-0000-000000000000}"/>
  <bookViews>
    <workbookView xWindow="0" yWindow="500" windowWidth="19200" windowHeight="10900" tabRatio="590" xr2:uid="{00000000-000D-0000-FFFF-FFFF00000000}"/>
  </bookViews>
  <sheets>
    <sheet name="DATA GAJI" sheetId="2" r:id="rId1"/>
    <sheet name="DATA LEMBUR" sheetId="5" r:id="rId2"/>
    <sheet name="LEMBUR" sheetId="3" r:id="rId3"/>
    <sheet name="SLIP GAJI" sheetId="1" r:id="rId4"/>
  </sheets>
  <definedNames>
    <definedName name="_xlnm.Print_Area" localSheetId="3">'SLIP GAJI'!$A$1:$I$28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82" i="2" l="1"/>
  <c r="AG183" i="2"/>
  <c r="AG184" i="2"/>
  <c r="C3" i="2"/>
  <c r="AG137" i="2"/>
  <c r="AG138" i="2"/>
  <c r="AG139" i="2"/>
  <c r="AG140" i="2"/>
  <c r="AG141" i="2"/>
  <c r="AG142" i="2"/>
  <c r="AG143" i="2"/>
  <c r="AG144" i="2"/>
  <c r="AG145" i="2"/>
  <c r="AG146" i="2"/>
  <c r="AG147" i="2"/>
  <c r="AG148" i="2"/>
  <c r="AG149" i="2"/>
  <c r="AG150" i="2"/>
  <c r="AG151" i="2"/>
  <c r="AG152" i="2"/>
  <c r="AG153" i="2"/>
  <c r="AG154" i="2"/>
  <c r="AG155" i="2"/>
  <c r="AG156" i="2"/>
  <c r="AG157" i="2"/>
  <c r="AG158" i="2"/>
  <c r="AG159" i="2"/>
  <c r="AG160" i="2"/>
  <c r="AG161" i="2"/>
  <c r="AG162" i="2"/>
  <c r="AG163" i="2"/>
  <c r="AG164" i="2"/>
  <c r="AG165" i="2"/>
  <c r="AG166" i="2"/>
  <c r="AG167" i="2"/>
  <c r="AG168" i="2"/>
  <c r="AG169" i="2"/>
  <c r="AG170" i="2"/>
  <c r="AG171" i="2"/>
  <c r="AG172" i="2"/>
  <c r="AG173" i="2"/>
  <c r="AG174" i="2"/>
  <c r="AG175" i="2"/>
  <c r="AG176" i="2"/>
  <c r="AG177" i="2"/>
  <c r="AG178" i="2"/>
  <c r="AG179" i="2"/>
  <c r="AG180" i="2"/>
  <c r="AG181" i="2"/>
  <c r="AG123" i="2"/>
  <c r="AG124" i="2"/>
  <c r="AG125" i="2"/>
  <c r="AG126" i="2"/>
  <c r="AG127" i="2"/>
  <c r="AG128" i="2"/>
  <c r="AG129" i="2"/>
  <c r="AG130" i="2"/>
  <c r="AG131" i="2"/>
  <c r="AG132" i="2"/>
  <c r="AG133" i="2"/>
  <c r="AG134" i="2"/>
  <c r="AG135" i="2"/>
  <c r="AG136" i="2"/>
  <c r="AG12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9" i="2"/>
  <c r="G51" i="1" l="1"/>
  <c r="E60" i="1"/>
  <c r="E59" i="1"/>
  <c r="E58" i="1"/>
  <c r="E57" i="1"/>
  <c r="E56" i="1"/>
  <c r="E55" i="1"/>
  <c r="E54" i="1"/>
  <c r="E53" i="1"/>
  <c r="E52" i="1"/>
  <c r="E51" i="1"/>
  <c r="D60" i="1"/>
  <c r="D59" i="1"/>
  <c r="D58" i="1"/>
  <c r="D57" i="1"/>
  <c r="D56" i="1"/>
  <c r="D55" i="1"/>
  <c r="D54" i="1"/>
  <c r="D53" i="1"/>
  <c r="D52" i="1"/>
  <c r="D51" i="1"/>
  <c r="C60" i="1"/>
  <c r="C59" i="1"/>
  <c r="C58" i="1"/>
  <c r="C57" i="1"/>
  <c r="C56" i="1"/>
  <c r="C55" i="1"/>
  <c r="C54" i="1"/>
  <c r="C53" i="1"/>
  <c r="C52" i="1"/>
  <c r="C51" i="1"/>
  <c r="I36" i="1"/>
  <c r="G60" i="1"/>
  <c r="G59" i="1"/>
  <c r="G58" i="1"/>
  <c r="G57" i="1"/>
  <c r="G56" i="1"/>
  <c r="G55" i="1"/>
  <c r="G54" i="1"/>
  <c r="G53" i="1"/>
  <c r="G52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7" i="1"/>
  <c r="F36" i="1"/>
  <c r="F38" i="1"/>
  <c r="N5" i="1" l="1"/>
  <c r="C25" i="1" l="1"/>
  <c r="C24" i="1"/>
  <c r="C23" i="1"/>
  <c r="I21" i="1"/>
  <c r="D17" i="1"/>
  <c r="D16" i="1"/>
  <c r="D15" i="1"/>
  <c r="D14" i="1"/>
  <c r="D13" i="1"/>
  <c r="D12" i="1"/>
  <c r="D10" i="1"/>
  <c r="H7" i="1"/>
  <c r="D21" i="1"/>
  <c r="I19" i="1"/>
  <c r="F18" i="1"/>
  <c r="I18" i="1"/>
  <c r="I17" i="1"/>
  <c r="I16" i="1"/>
  <c r="I15" i="1"/>
  <c r="I13" i="1"/>
  <c r="I12" i="1"/>
  <c r="I11" i="1"/>
  <c r="I10" i="1"/>
  <c r="I14" i="1" l="1"/>
  <c r="C26" i="1" l="1"/>
  <c r="H6" i="1"/>
  <c r="C7" i="1"/>
  <c r="C6" i="1"/>
  <c r="I2" i="1" l="1"/>
  <c r="N4" i="1" l="1"/>
  <c r="G50" i="1" l="1"/>
  <c r="E50" i="1"/>
  <c r="D50" i="1"/>
  <c r="C50" i="1"/>
  <c r="G49" i="1"/>
  <c r="E49" i="1"/>
  <c r="D49" i="1"/>
  <c r="C49" i="1"/>
  <c r="G48" i="1"/>
  <c r="E48" i="1"/>
  <c r="D48" i="1"/>
  <c r="C48" i="1"/>
  <c r="G47" i="1"/>
  <c r="E47" i="1"/>
  <c r="D47" i="1"/>
  <c r="C47" i="1"/>
  <c r="G46" i="1"/>
  <c r="E46" i="1"/>
  <c r="D46" i="1"/>
  <c r="C46" i="1"/>
  <c r="G45" i="1"/>
  <c r="E45" i="1"/>
  <c r="D45" i="1"/>
  <c r="C45" i="1"/>
  <c r="G44" i="1"/>
  <c r="E44" i="1"/>
  <c r="D44" i="1"/>
  <c r="C44" i="1"/>
  <c r="G43" i="1"/>
  <c r="E43" i="1"/>
  <c r="D43" i="1"/>
  <c r="C43" i="1"/>
  <c r="G42" i="1"/>
  <c r="E42" i="1"/>
  <c r="D42" i="1"/>
  <c r="C42" i="1"/>
  <c r="G41" i="1"/>
  <c r="E41" i="1"/>
  <c r="D41" i="1"/>
  <c r="C41" i="1"/>
  <c r="G40" i="1"/>
  <c r="E40" i="1"/>
  <c r="D40" i="1"/>
  <c r="C40" i="1"/>
  <c r="C39" i="1"/>
  <c r="G36" i="1" l="1"/>
  <c r="G39" i="1"/>
  <c r="E39" i="1"/>
  <c r="G38" i="1"/>
  <c r="E38" i="1"/>
  <c r="G37" i="1"/>
  <c r="E37" i="1"/>
  <c r="H36" i="1"/>
  <c r="E36" i="1"/>
  <c r="C38" i="1"/>
  <c r="C37" i="1"/>
  <c r="C36" i="1"/>
  <c r="D36" i="1" l="1"/>
  <c r="D39" i="1"/>
  <c r="D38" i="1"/>
  <c r="D37" i="1"/>
  <c r="A36" i="1"/>
  <c r="K254" i="1"/>
  <c r="D3" i="5" l="1"/>
  <c r="F19" i="1" l="1"/>
  <c r="F15" i="1"/>
  <c r="F13" i="1"/>
  <c r="A17" i="1"/>
  <c r="F12" i="1" l="1"/>
  <c r="F11" i="1"/>
  <c r="F10" i="1"/>
  <c r="A16" i="1"/>
  <c r="A15" i="1"/>
  <c r="A14" i="1"/>
  <c r="A13" i="1"/>
  <c r="A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rsup</author>
  </authors>
  <commentList>
    <comment ref="B602" authorId="0" shapeId="0" xr:uid="{00000000-0006-0000-0200-000001000000}">
      <text>
        <r>
          <rPr>
            <b/>
            <sz val="9"/>
            <rFont val="Tahoma"/>
            <family val="2"/>
          </rPr>
          <t>rsup:</t>
        </r>
        <r>
          <rPr>
            <sz val="9"/>
            <rFont val="Tahoma"/>
            <family val="2"/>
          </rPr>
          <t xml:space="preserve">
gaji sebesar 50% sampai STR dan SIP selesai
</t>
        </r>
      </text>
    </comment>
  </commentList>
</comments>
</file>

<file path=xl/sharedStrings.xml><?xml version="1.0" encoding="utf-8"?>
<sst xmlns="http://schemas.openxmlformats.org/spreadsheetml/2006/main" count="3240" uniqueCount="985">
  <si>
    <t>NIK</t>
  </si>
  <si>
    <t>Nama Karyawan</t>
  </si>
  <si>
    <t>:</t>
  </si>
  <si>
    <t>PENDAPATAN</t>
  </si>
  <si>
    <t>POTONGAN</t>
  </si>
  <si>
    <t>NO</t>
  </si>
  <si>
    <t>NAMA</t>
  </si>
  <si>
    <t>TUNJANGAN JABATAN</t>
  </si>
  <si>
    <t>LEMBUR</t>
  </si>
  <si>
    <t>JML PENDAPATAN</t>
  </si>
  <si>
    <t>JML POTONGAN</t>
  </si>
  <si>
    <t>JUMLAH PENDAPATAN</t>
  </si>
  <si>
    <t>JUMLAH POTONGAN</t>
  </si>
  <si>
    <t>SLIP GAJI</t>
  </si>
  <si>
    <t>Bendahara</t>
  </si>
  <si>
    <t>Data Gaji Bulan</t>
  </si>
  <si>
    <t>Jumlah Karyawan</t>
  </si>
  <si>
    <t>e-mail</t>
  </si>
  <si>
    <t>KOMPENSASI</t>
  </si>
  <si>
    <t>BPJS TK</t>
  </si>
  <si>
    <t>BPJS KES</t>
  </si>
  <si>
    <t>KEKURANGAN</t>
  </si>
  <si>
    <t>JAM TERBUANG</t>
  </si>
  <si>
    <t>POT ABSENSI</t>
  </si>
  <si>
    <t>POT KASIR</t>
  </si>
  <si>
    <t>KELEBIHAN</t>
  </si>
  <si>
    <t>PENERIMAAN</t>
  </si>
  <si>
    <t>PEMBULATAN</t>
  </si>
  <si>
    <t>DITERIMAKAN</t>
  </si>
  <si>
    <t>Husnul Cholilah</t>
  </si>
  <si>
    <t>azzah.annuru@gmail.com</t>
  </si>
  <si>
    <t>HARI KERJA</t>
  </si>
  <si>
    <t>PENEMPATAN</t>
  </si>
  <si>
    <t>PT PINDAD MEDIKA UTAMA</t>
  </si>
  <si>
    <t>Komplek Divisi Munisi PT Pindad (Persero)</t>
  </si>
  <si>
    <t>Jl. Semeru No. 1 Turen-Malang 65175</t>
  </si>
  <si>
    <t>Tlp. 0341-827295, e-mail : sdmturen@gmail.com</t>
  </si>
  <si>
    <t>Penempatan</t>
  </si>
  <si>
    <t>Een Ermawati</t>
  </si>
  <si>
    <t>eenermawati02@gmail.com</t>
  </si>
  <si>
    <t>Agus Saiful A</t>
  </si>
  <si>
    <t>aminagus829@gmail.com</t>
  </si>
  <si>
    <t>Yuni Indrawati</t>
  </si>
  <si>
    <t>newn.ndra2@gmail.com</t>
  </si>
  <si>
    <t>Fitriya</t>
  </si>
  <si>
    <t>Atika Pangestika</t>
  </si>
  <si>
    <t>atikapangestika35@gmail.com</t>
  </si>
  <si>
    <t>Nike Prasetiyaningsih</t>
  </si>
  <si>
    <t>nikeprasetiyaningsih@gmail.com</t>
  </si>
  <si>
    <t>Muhammad Bisri</t>
  </si>
  <si>
    <t>muhammadbisri170318@gmail.com</t>
  </si>
  <si>
    <t>Frasetyo Hari Cahyono</t>
  </si>
  <si>
    <t>arik3958@gmail.com</t>
  </si>
  <si>
    <t>Dyah Kusuma Ningtyas</t>
  </si>
  <si>
    <t>diyahxtiyas1234@gmail.com</t>
  </si>
  <si>
    <t>Titin Tri Mulyani</t>
  </si>
  <si>
    <t>thitintri10@gmail.com</t>
  </si>
  <si>
    <t>Khoiriyatul Dwi</t>
  </si>
  <si>
    <t>khoiriatuldwi@gmail.com</t>
  </si>
  <si>
    <t>Julialdy Eko Kurniawan</t>
  </si>
  <si>
    <t>aldy.kurniawan125@gmail.com</t>
  </si>
  <si>
    <t>Chika Oktavia Sahara</t>
  </si>
  <si>
    <t>chikaoktaviasahara@gmail.com</t>
  </si>
  <si>
    <t>Salma Lutfia Azzahra</t>
  </si>
  <si>
    <t>salmalutfia@gmail.com</t>
  </si>
  <si>
    <t>Suwandi</t>
  </si>
  <si>
    <t>suwandiharwat@gmail.com</t>
  </si>
  <si>
    <t>Hendrik T I Y</t>
  </si>
  <si>
    <t>hendrik.ningrat87@gmail.com</t>
  </si>
  <si>
    <t>Ifatul Khasanah</t>
  </si>
  <si>
    <t>ifatulkhasanah04@gmail.com</t>
  </si>
  <si>
    <t>Yessy Kristiana</t>
  </si>
  <si>
    <t>yessykritiana@gmail.com</t>
  </si>
  <si>
    <t>Puji Hariasih</t>
  </si>
  <si>
    <t>pujihariaseh86@gmail.com</t>
  </si>
  <si>
    <t>Sri Wahyu Rika Asih</t>
  </si>
  <si>
    <t>sriwahyurikaasih@gmail.com</t>
  </si>
  <si>
    <t>Defit Agus S</t>
  </si>
  <si>
    <t>phedhe.cuy@gmail.com</t>
  </si>
  <si>
    <t>Ida Susanti</t>
  </si>
  <si>
    <t>susantiida91@gmail.com</t>
  </si>
  <si>
    <t>Riska Aprilia</t>
  </si>
  <si>
    <t>riskaaprillia10@gmail.com</t>
  </si>
  <si>
    <t>Achmad Aidin</t>
  </si>
  <si>
    <t>achmadaidin22@gmail.com</t>
  </si>
  <si>
    <t>Herlinda Putri O</t>
  </si>
  <si>
    <t>herlinviandra30@gmail.com</t>
  </si>
  <si>
    <t>Luluk Khulailah</t>
  </si>
  <si>
    <t>lulukkhulailah@gmail.com</t>
  </si>
  <si>
    <t>Febrian Dwi S</t>
  </si>
  <si>
    <t>aanthoenk@gmail.com</t>
  </si>
  <si>
    <t>Totok Hariyanto</t>
  </si>
  <si>
    <t>totokhariyanto867@gmail.com</t>
  </si>
  <si>
    <t>Arip Hariyanto</t>
  </si>
  <si>
    <t>ertersup@gmail.com</t>
  </si>
  <si>
    <t>Nanang Setyawan</t>
  </si>
  <si>
    <t xml:space="preserve">	nananksetyawan8@gmail.com</t>
  </si>
  <si>
    <t>Juni Fatikah S.</t>
  </si>
  <si>
    <t>junifatikah95@gmail.com</t>
  </si>
  <si>
    <t>Yuwana Hadi W.</t>
  </si>
  <si>
    <t>yuwana171@gmail.com</t>
  </si>
  <si>
    <t>Edo Hermawan</t>
  </si>
  <si>
    <t>anarchyhermawan@gmail.com</t>
  </si>
  <si>
    <t>Novia Susanti</t>
  </si>
  <si>
    <t>noviasusanti140@gmail.com</t>
  </si>
  <si>
    <t>Anik Retna Iswari</t>
  </si>
  <si>
    <t>anikretnaiswari@gmail.com</t>
  </si>
  <si>
    <t>Evi Dhina Maulia</t>
  </si>
  <si>
    <t>evidhinamaulia@gmail.com</t>
  </si>
  <si>
    <t>Budi Arisandi</t>
  </si>
  <si>
    <t>rikasharsa88@gmail.com</t>
  </si>
  <si>
    <t>Tri Purnawati</t>
  </si>
  <si>
    <t>Inayatul Afiyah</t>
  </si>
  <si>
    <t>afiyah1313@gmail.com</t>
  </si>
  <si>
    <t>Eko Purnomo Putro</t>
  </si>
  <si>
    <t>ekop68659@gmail.com</t>
  </si>
  <si>
    <t>Laili Choirun Nisak</t>
  </si>
  <si>
    <t>lailinisa15@gmail.com</t>
  </si>
  <si>
    <t>A'an Dwi Safaringga</t>
  </si>
  <si>
    <t>aan.Shafaringga@gmail.com</t>
  </si>
  <si>
    <t>Wahyu Arianto</t>
  </si>
  <si>
    <t>wahyuarianto187@gmail.com</t>
  </si>
  <si>
    <t>Aris Arianto</t>
  </si>
  <si>
    <t>arissarianto2@gmail.com</t>
  </si>
  <si>
    <t>Supriyono</t>
  </si>
  <si>
    <t>Adi Alamsyah</t>
  </si>
  <si>
    <t>alamsyahadi790@gmail.com</t>
  </si>
  <si>
    <t>Andin Suliaten</t>
  </si>
  <si>
    <t>andiennayla777@gmail.com</t>
  </si>
  <si>
    <t>Eka Putri Radotul Jannah</t>
  </si>
  <si>
    <t>putriirj@gmail.com</t>
  </si>
  <si>
    <t>Tantowi Bagus Prasetyo</t>
  </si>
  <si>
    <t xml:space="preserve">tantowibagus64@gmail.com </t>
  </si>
  <si>
    <t>Rudi Cahyono</t>
  </si>
  <si>
    <t>rudikeceng5171@gmail.com</t>
  </si>
  <si>
    <t>M Nur Roziqin</t>
  </si>
  <si>
    <t>mnurroziqin388@gmail.com</t>
  </si>
  <si>
    <t>Adi Candra Wijaya</t>
  </si>
  <si>
    <t>adimuth88@gmail.com</t>
  </si>
  <si>
    <t>Deny Priyantono</t>
  </si>
  <si>
    <t>morganista99@gmail.com</t>
  </si>
  <si>
    <t>Ferry Akhmad Setiyawan</t>
  </si>
  <si>
    <t>kevinkemal07@gmail.com</t>
  </si>
  <si>
    <t>Annisa Dian Sari</t>
  </si>
  <si>
    <t>sariannisadian@gmail.com</t>
  </si>
  <si>
    <t>nazwaputririzki@gmail.com</t>
  </si>
  <si>
    <t>Nelindra Lyanta Sukma</t>
  </si>
  <si>
    <t>nellindralyantasukma@gmail.com</t>
  </si>
  <si>
    <t>Anton Dwi Cahyono</t>
  </si>
  <si>
    <t>antondwi433@gmail.com</t>
  </si>
  <si>
    <t>Rusman Hadi Santoso</t>
  </si>
  <si>
    <t>Supaijin</t>
  </si>
  <si>
    <t>mochucup1@gmail.com</t>
  </si>
  <si>
    <t>Nurul Huda</t>
  </si>
  <si>
    <t>hudent20@gmail.com</t>
  </si>
  <si>
    <t>Dian Sofianto</t>
  </si>
  <si>
    <t>diansofianto88@gmail.com</t>
  </si>
  <si>
    <t>Fida Kusumawati</t>
  </si>
  <si>
    <t>fidakusumawatii@gmail.com</t>
  </si>
  <si>
    <t>Agus Yunanta</t>
  </si>
  <si>
    <t>agusyunantan@gmail.com</t>
  </si>
  <si>
    <t>Nora Nur Rokhmah</t>
  </si>
  <si>
    <t>Iwan Setyawan</t>
  </si>
  <si>
    <t>imiwansetiawan@gmail.com</t>
  </si>
  <si>
    <t>Nabela Chitra Santika</t>
  </si>
  <si>
    <t>Rose Rona Aisyah</t>
  </si>
  <si>
    <t>roseaisyah90@gmail.com</t>
  </si>
  <si>
    <t>Wahyu Hidayat</t>
  </si>
  <si>
    <t>wahyukenyot0606@gmail.com</t>
  </si>
  <si>
    <t xml:space="preserve">Iin Nur Indayani </t>
  </si>
  <si>
    <t>iinindayani92@gmail.com</t>
  </si>
  <si>
    <t>Setia Wulandari</t>
  </si>
  <si>
    <t>setiawulan5555@gmail.com</t>
  </si>
  <si>
    <t>Dayinta Bayu Restiputri</t>
  </si>
  <si>
    <t>dayinta.putri@gmail.com</t>
  </si>
  <si>
    <t>M Hisyam Ali Fanani</t>
  </si>
  <si>
    <t>mohammedhishisyam@gmail.com</t>
  </si>
  <si>
    <t>asriwurianingrum@gmail.com</t>
  </si>
  <si>
    <t>Eli Yeni Ermawati</t>
  </si>
  <si>
    <t>eliyeniermawati@gmail.com</t>
  </si>
  <si>
    <t>Danik Afriani</t>
  </si>
  <si>
    <t>danik.kpj@gmail.com</t>
  </si>
  <si>
    <t>Hesti Rosalina, dr</t>
  </si>
  <si>
    <t>matsuyamahero@gmail.com</t>
  </si>
  <si>
    <t>Qurrotul Ayunin</t>
  </si>
  <si>
    <t>ayuninmimiy@gmail.com</t>
  </si>
  <si>
    <t>Neneng Miari</t>
  </si>
  <si>
    <t>nenengmiari6@gmail.com</t>
  </si>
  <si>
    <t>Zakiyah Putri Amalia</t>
  </si>
  <si>
    <t>zakiyahamalia8@gmail.com</t>
  </si>
  <si>
    <t>yuli44ini@gmail.com</t>
  </si>
  <si>
    <t>dkhana87@gmail.com</t>
  </si>
  <si>
    <t>david.roni3@gmail.com</t>
  </si>
  <si>
    <t>Anita Imtikhana</t>
  </si>
  <si>
    <t>nitha.mbr@gmail.com</t>
  </si>
  <si>
    <t>Agus Santoso</t>
  </si>
  <si>
    <t>agusharlistrik@gmail.com</t>
  </si>
  <si>
    <t>Timur Tri Aria Chandra</t>
  </si>
  <si>
    <t xml:space="preserve">timureast3@gmail.com </t>
  </si>
  <si>
    <t>Danang Kurdiansyah</t>
  </si>
  <si>
    <t>dkurdiansyah46@gmail.com</t>
  </si>
  <si>
    <t>Moh Abdur Rohman</t>
  </si>
  <si>
    <t>mohabdurrohman93@gmail.com</t>
  </si>
  <si>
    <t>Harmoko Dwi Prasetyo</t>
  </si>
  <si>
    <t>harmokod11@gmail.com</t>
  </si>
  <si>
    <t>Ninis Dwi Pratiwi</t>
  </si>
  <si>
    <t>dwipratiwi.ninis@gmail.com</t>
  </si>
  <si>
    <t>Putri Dwi Wijayanti</t>
  </si>
  <si>
    <t>dwip22411@gmail.com</t>
  </si>
  <si>
    <t>Esa Kurnia Wati</t>
  </si>
  <si>
    <t>violashidqia@gmail.com</t>
  </si>
  <si>
    <t>Lilik Ro'ikawati</t>
  </si>
  <si>
    <t>roikawatililik@gmail.com</t>
  </si>
  <si>
    <t>Achmad Nurroziqin</t>
  </si>
  <si>
    <t>bobonsagamaulana@gmail.com</t>
  </si>
  <si>
    <t>indahstyarini@gmail.com</t>
  </si>
  <si>
    <t>Ariandita Dwi Prasetyo</t>
  </si>
  <si>
    <t>ariandita79@gmail.com</t>
  </si>
  <si>
    <t>yuwi.yulianik@gmail.com</t>
  </si>
  <si>
    <t>Agustina Tri Wahyuni</t>
  </si>
  <si>
    <t>agustinasya@gmail.com</t>
  </si>
  <si>
    <t>Wike Hadi Widianto</t>
  </si>
  <si>
    <t>ekiw.widianto92@gmail.com</t>
  </si>
  <si>
    <t>Nurhidayati</t>
  </si>
  <si>
    <t>nur443581@gmail.com</t>
  </si>
  <si>
    <t>Octaviani Defi</t>
  </si>
  <si>
    <t>octad38@gmail.com</t>
  </si>
  <si>
    <t>yudikgessrek@gmail.com</t>
  </si>
  <si>
    <t>Dwi Novianto</t>
  </si>
  <si>
    <t>dwinov061189@gmail.com</t>
  </si>
  <si>
    <t>Merisa Surya Septian</t>
  </si>
  <si>
    <t>merisasurya@gmail.com</t>
  </si>
  <si>
    <t>Ni'amah</t>
  </si>
  <si>
    <t>azharniam79@gmail.com</t>
  </si>
  <si>
    <t>nitafaradina88@gmail.com</t>
  </si>
  <si>
    <t>megayusinta85@gmail.com</t>
  </si>
  <si>
    <t>febrianarikarahayu@gmail.com</t>
  </si>
  <si>
    <t>susianachanputri@gmail.com</t>
  </si>
  <si>
    <t>dewiintansari786@gmail.com</t>
  </si>
  <si>
    <t>Fatimatus Zahroh</t>
  </si>
  <si>
    <t>fatimatuszahroh.fz1@gmail.com</t>
  </si>
  <si>
    <t>firmanrizaldi901@gmail.com</t>
  </si>
  <si>
    <t>Retno Anggraeni</t>
  </si>
  <si>
    <t>retnoanggra8877@yahoo.com</t>
  </si>
  <si>
    <t>Moh Arifin</t>
  </si>
  <si>
    <t>mohammadarifin415@gmail.com</t>
  </si>
  <si>
    <t>M Bashori Romadhoni</t>
  </si>
  <si>
    <t>dhoniroma871@gmail.com</t>
  </si>
  <si>
    <t>Nurul Maulidiyah</t>
  </si>
  <si>
    <t>maulidyan775@gmail.com</t>
  </si>
  <si>
    <t>Agusnita Panca Indriati</t>
  </si>
  <si>
    <t>agusnita.panca@gmail.com</t>
  </si>
  <si>
    <t>Dwi Rachmawati</t>
  </si>
  <si>
    <t>dwirachma21@gmail.com</t>
  </si>
  <si>
    <t>Elvina Damayanti</t>
  </si>
  <si>
    <t>damayantielvina415@gmail.com</t>
  </si>
  <si>
    <t>Achmad Zaenuri</t>
  </si>
  <si>
    <t>ahmadzainuri9304@gmail.com</t>
  </si>
  <si>
    <t>Maulana Issa Haris</t>
  </si>
  <si>
    <t>maulanaissaharris.2103@gmail.com</t>
  </si>
  <si>
    <t>Riska Jeje Nur'aini</t>
  </si>
  <si>
    <t>riskajejenuraini09@gmail.com</t>
  </si>
  <si>
    <t>purusha.kresno@gmail.com</t>
  </si>
  <si>
    <t>Khoirun Nikmah</t>
  </si>
  <si>
    <t>khoirunnikmah1998@gmail.com</t>
  </si>
  <si>
    <t>Ery Arumingtyas</t>
  </si>
  <si>
    <t>eryaruming1998@gmail.com</t>
  </si>
  <si>
    <t>yunitayrfa@gmail.com</t>
  </si>
  <si>
    <t>Dony Dwi Kiputranto</t>
  </si>
  <si>
    <t>donydwi2@gmail.com</t>
  </si>
  <si>
    <t>David Setiyawan</t>
  </si>
  <si>
    <t>davidsetiyawan23@gmail.com</t>
  </si>
  <si>
    <t>Sochibul Huda</t>
  </si>
  <si>
    <t>socheb53@gmail.com</t>
  </si>
  <si>
    <t>Novi Maslahah</t>
  </si>
  <si>
    <t>novimass96@gmail.com</t>
  </si>
  <si>
    <t>Achmad Rian Pratama</t>
  </si>
  <si>
    <t>rianpratama0718@gmail.com</t>
  </si>
  <si>
    <t>Fandhiyan Parta Nugraha</t>
  </si>
  <si>
    <t>fandhiparta@gmail.com</t>
  </si>
  <si>
    <t>Eko Bagus, dr</t>
  </si>
  <si>
    <t>b.eko88gym@gmail.com</t>
  </si>
  <si>
    <t>bellabarokahiprama23@gmail.com</t>
  </si>
  <si>
    <t>Ike Elly Susanti</t>
  </si>
  <si>
    <t>ellyzhahyannas38@gmail.com</t>
  </si>
  <si>
    <t>Rizqiatul Kamalia</t>
  </si>
  <si>
    <t>kamaliarizqiatul@gmail.com</t>
  </si>
  <si>
    <t>johankholili4@gmail.com</t>
  </si>
  <si>
    <t>Mochammad Sholeh Handika</t>
  </si>
  <si>
    <t>bakolkacang24@gmail.com</t>
  </si>
  <si>
    <t>andrianiatmaja@gmail.com</t>
  </si>
  <si>
    <t>Januari 2022</t>
  </si>
  <si>
    <t>nabelachitrasantika@gmail.com</t>
  </si>
  <si>
    <t>Rincian Lembur</t>
  </si>
  <si>
    <t>Tanggal</t>
  </si>
  <si>
    <t>Shift</t>
  </si>
  <si>
    <t>Jam</t>
  </si>
  <si>
    <t>Penerimaan</t>
  </si>
  <si>
    <t>Jumlah</t>
  </si>
  <si>
    <t>Nama</t>
  </si>
  <si>
    <t>No</t>
  </si>
  <si>
    <t>Ketentuan Tarif</t>
  </si>
  <si>
    <t>Per Shift</t>
  </si>
  <si>
    <t>NPK</t>
  </si>
  <si>
    <t xml:space="preserve">TGL </t>
  </si>
  <si>
    <t>SIFT</t>
  </si>
  <si>
    <t>JAM</t>
  </si>
  <si>
    <t>JUMLAH</t>
  </si>
  <si>
    <t>Ferdina Anggarda E</t>
  </si>
  <si>
    <t>Evi Zuhriyatul Wardani</t>
  </si>
  <si>
    <t>Ernawati</t>
  </si>
  <si>
    <t>Diajeng Puji Lestari</t>
  </si>
  <si>
    <t>Lia Fibriarini</t>
  </si>
  <si>
    <t>Winda Indriani</t>
  </si>
  <si>
    <t>Suci Wulandari</t>
  </si>
  <si>
    <t>dr. Ikka Tientus</t>
  </si>
  <si>
    <t>Ahmad Faisol</t>
  </si>
  <si>
    <t>Alfian Nur S</t>
  </si>
  <si>
    <t>Ika Nur Choiriyah</t>
  </si>
  <si>
    <t>Arif Ridho Hidayat</t>
  </si>
  <si>
    <t>Desi Alif Nurdianti</t>
  </si>
  <si>
    <t>Rizki Agustya</t>
  </si>
  <si>
    <t>Alfisyamas Nisa Pamenang</t>
  </si>
  <si>
    <t>Wahyu Septian Fajar</t>
  </si>
  <si>
    <t>Hendra Apriliyanto</t>
  </si>
  <si>
    <t>Yuni Tri Andini</t>
  </si>
  <si>
    <t>Bakhrudin Zamzam</t>
  </si>
  <si>
    <t>Sri Widarsih</t>
  </si>
  <si>
    <t>Novela Dinda Esperanza</t>
  </si>
  <si>
    <t>Agam Senatama</t>
  </si>
  <si>
    <t>M Khusni Mubaroq</t>
  </si>
  <si>
    <t>Dwi Wahyu Rachmawati</t>
  </si>
  <si>
    <t>Nadia Silvi Fernia Agustin</t>
  </si>
  <si>
    <t>Muhammad Khoirul Anam</t>
  </si>
  <si>
    <t>Rosica Panji Pradani</t>
  </si>
  <si>
    <t>dr. Sheren Bella Ridca</t>
  </si>
  <si>
    <t>Wafa Azwaruddin Nur, dr</t>
  </si>
  <si>
    <t>Mochammad Yusril Rizkyawan</t>
  </si>
  <si>
    <t>Tarif / Shift</t>
  </si>
  <si>
    <t>Total</t>
  </si>
  <si>
    <t>Adelia Rahmawati</t>
  </si>
  <si>
    <t>ikanur2016@gmail.com</t>
  </si>
  <si>
    <t>arifridhoh@gmail.com</t>
  </si>
  <si>
    <t>alfisyamas@gmail.com</t>
  </si>
  <si>
    <t>hendraapriliyanto8@gmail.com</t>
  </si>
  <si>
    <t>bakhrudinzamzam@gmail.com</t>
  </si>
  <si>
    <t>hairoby40@gmail.com</t>
  </si>
  <si>
    <t>khoirulanam.um@gmail.com</t>
  </si>
  <si>
    <t>adeliarachmawati14@gmail.com</t>
  </si>
  <si>
    <t>dina.atikah30@gmail.com</t>
  </si>
  <si>
    <t>windaindriani510@gmail.com</t>
  </si>
  <si>
    <t>wafa.azwar@gmail.com</t>
  </si>
  <si>
    <t>yusrilriskyawan77@gmail.com</t>
  </si>
  <si>
    <t>Dina Erlinda</t>
  </si>
  <si>
    <t>Aden Meilian</t>
  </si>
  <si>
    <t>Yulia Agustina</t>
  </si>
  <si>
    <t>Feny Damayanti, dr</t>
  </si>
  <si>
    <t>Fera Mazroatul Ulya</t>
  </si>
  <si>
    <t>Heniza Afkarina Noviari</t>
  </si>
  <si>
    <t>Intan Purnama Sari</t>
  </si>
  <si>
    <t>Ainul Yakin, dr</t>
  </si>
  <si>
    <t>Yossi Ajeng Pratiwi</t>
  </si>
  <si>
    <t xml:space="preserve">KETENTUAN </t>
  </si>
  <si>
    <t>TARIF/SHIFT</t>
  </si>
  <si>
    <t>TOTAL</t>
  </si>
  <si>
    <t>desialif99@gmail.com</t>
  </si>
  <si>
    <t>yuliaagustinayulia474@gmail.com</t>
  </si>
  <si>
    <t>cakruzmanhadi17@gmail.com</t>
  </si>
  <si>
    <t>noranurrokhmah86@gmail.com</t>
  </si>
  <si>
    <t>Wiyadi</t>
  </si>
  <si>
    <t>diajenglestari2@gmail.com</t>
  </si>
  <si>
    <t>ainibangkalan120@gmail.com</t>
  </si>
  <si>
    <t>eka.dewi210699@gmail.com</t>
  </si>
  <si>
    <t>Fitria Tutik Handayani</t>
  </si>
  <si>
    <t>Asri Wuria Ningrum</t>
  </si>
  <si>
    <t>intanpurnamasari6698@gmail.com</t>
  </si>
  <si>
    <t>24wika.deakandi@gmail.com</t>
  </si>
  <si>
    <t>kamilahkamilah06@gmail.com</t>
  </si>
  <si>
    <t>yossiajeng00@gmail.com</t>
  </si>
  <si>
    <t>Wika Yuli Daekandi, dr</t>
  </si>
  <si>
    <t>Toreni Yurista, dr</t>
  </si>
  <si>
    <t>Tri Suryono Putro</t>
  </si>
  <si>
    <t>Nova Yulia Wulandari</t>
  </si>
  <si>
    <t>Zulfia Novita</t>
  </si>
  <si>
    <t>Elen Jihan Pratma</t>
  </si>
  <si>
    <t>Wardah Khoirunnisa Faludi</t>
  </si>
  <si>
    <t>Lailatul Masruro</t>
  </si>
  <si>
    <t>Andro Abraham Damanik, dr</t>
  </si>
  <si>
    <t>Hikmah Tri Wahyuni, dr</t>
  </si>
  <si>
    <t>Yeni Octavia, dr</t>
  </si>
  <si>
    <t>Dwi Enjang Agustin Lindasari</t>
  </si>
  <si>
    <t>Maulida Ratna Hapsari</t>
  </si>
  <si>
    <t>Risma Deliya Tamara</t>
  </si>
  <si>
    <t>Nama Bendahara</t>
  </si>
  <si>
    <t>Folder Slip Gaji</t>
  </si>
  <si>
    <t>DAVID SETYAWAN</t>
  </si>
  <si>
    <t>No. Urut</t>
  </si>
  <si>
    <t>Jml Karyawan</t>
  </si>
  <si>
    <t>Email</t>
  </si>
  <si>
    <t>No. WA</t>
  </si>
  <si>
    <t>Delay</t>
  </si>
  <si>
    <t>No Whatsapp
Contoh: 6281234567890</t>
  </si>
  <si>
    <t>6289692141222</t>
  </si>
  <si>
    <t>6289626535488</t>
  </si>
  <si>
    <t>dari</t>
  </si>
  <si>
    <t>hingga</t>
  </si>
  <si>
    <t>L20</t>
  </si>
  <si>
    <t>L21</t>
  </si>
  <si>
    <t>6285233338410</t>
  </si>
  <si>
    <t>6283132215938</t>
  </si>
  <si>
    <t>6285159090339</t>
  </si>
  <si>
    <t>6281357333886</t>
  </si>
  <si>
    <t>6281359123633</t>
  </si>
  <si>
    <t>6285939331994</t>
  </si>
  <si>
    <t>6282234251918</t>
  </si>
  <si>
    <t>6289507996200</t>
  </si>
  <si>
    <t>6282131443344</t>
  </si>
  <si>
    <t>6282220881955</t>
  </si>
  <si>
    <t>6281249004394</t>
  </si>
  <si>
    <t>6285785712101</t>
  </si>
  <si>
    <t>6281331674728</t>
  </si>
  <si>
    <t>6281336526535</t>
  </si>
  <si>
    <t>6281122330456</t>
  </si>
  <si>
    <t>628819473209</t>
  </si>
  <si>
    <t>6281233361861</t>
  </si>
  <si>
    <t>6285748171160</t>
  </si>
  <si>
    <t>6281334331962</t>
  </si>
  <si>
    <t>6282244510901</t>
  </si>
  <si>
    <t>6285785217381</t>
  </si>
  <si>
    <t>62881026510231</t>
  </si>
  <si>
    <t>6281216126550</t>
  </si>
  <si>
    <t>6281225473608</t>
  </si>
  <si>
    <t>6285895402347</t>
  </si>
  <si>
    <t>6285336175404</t>
  </si>
  <si>
    <t>6282331342906</t>
  </si>
  <si>
    <t>6281216543227</t>
  </si>
  <si>
    <t>6282257265565</t>
  </si>
  <si>
    <t>6285852701369</t>
  </si>
  <si>
    <t>6281249690164</t>
  </si>
  <si>
    <t>6289687031614</t>
  </si>
  <si>
    <t>6281217704185</t>
  </si>
  <si>
    <t>6289513793237</t>
  </si>
  <si>
    <t>628563116646</t>
  </si>
  <si>
    <t>6281336728907</t>
  </si>
  <si>
    <t>6285867854921</t>
  </si>
  <si>
    <t>6289615689445</t>
  </si>
  <si>
    <t>6281330331790</t>
  </si>
  <si>
    <t>6285334661877</t>
  </si>
  <si>
    <t>6281214733882</t>
  </si>
  <si>
    <t>6282143614996</t>
  </si>
  <si>
    <t>6281336937319</t>
  </si>
  <si>
    <t>6285646535460</t>
  </si>
  <si>
    <t>6281331101818</t>
  </si>
  <si>
    <t>62895396148719</t>
  </si>
  <si>
    <t>6289680574935</t>
  </si>
  <si>
    <t>6285536341382</t>
  </si>
  <si>
    <t>62895360749142</t>
  </si>
  <si>
    <t>6281357633105</t>
  </si>
  <si>
    <t>6289530438047</t>
  </si>
  <si>
    <t>6281332170688</t>
  </si>
  <si>
    <t>6283848033938</t>
  </si>
  <si>
    <t>62895356852128</t>
  </si>
  <si>
    <t>6281214395138</t>
  </si>
  <si>
    <t>6285755656653</t>
  </si>
  <si>
    <t>6285607811547</t>
  </si>
  <si>
    <t>6281555826583</t>
  </si>
  <si>
    <t>6282218839319</t>
  </si>
  <si>
    <t>6287859664727</t>
  </si>
  <si>
    <t>6289657993773</t>
  </si>
  <si>
    <t>62895395109564</t>
  </si>
  <si>
    <t>6285850142276</t>
  </si>
  <si>
    <t>6282132724907</t>
  </si>
  <si>
    <t>628887125852</t>
  </si>
  <si>
    <t>6281252199290</t>
  </si>
  <si>
    <t>6289675055389</t>
  </si>
  <si>
    <t>6282142753898</t>
  </si>
  <si>
    <t>6285646302736</t>
  </si>
  <si>
    <t>6281233392311</t>
  </si>
  <si>
    <t>6282338242438</t>
  </si>
  <si>
    <t>6285156115756</t>
  </si>
  <si>
    <t>6285755887990</t>
  </si>
  <si>
    <t>6281358061368</t>
  </si>
  <si>
    <t>6282210981749</t>
  </si>
  <si>
    <t>6282229280553</t>
  </si>
  <si>
    <t>6281225417989</t>
  </si>
  <si>
    <t>6281999448805</t>
  </si>
  <si>
    <t>6282249126302</t>
  </si>
  <si>
    <t>6285745475273</t>
  </si>
  <si>
    <t>6289606107480</t>
  </si>
  <si>
    <t>6285856569194</t>
  </si>
  <si>
    <t>6283847668589</t>
  </si>
  <si>
    <t>6285604098910</t>
  </si>
  <si>
    <t>6285791108432</t>
  </si>
  <si>
    <t>6285655519706</t>
  </si>
  <si>
    <t>6282232851173</t>
  </si>
  <si>
    <t>6281333132253</t>
  </si>
  <si>
    <t>6282232860676</t>
  </si>
  <si>
    <t>6281267010702</t>
  </si>
  <si>
    <t>6281337458715</t>
  </si>
  <si>
    <t>6282140767894</t>
  </si>
  <si>
    <t>6281390718604</t>
  </si>
  <si>
    <t>6282242123482</t>
  </si>
  <si>
    <t>6285646666093</t>
  </si>
  <si>
    <t>6285335708487</t>
  </si>
  <si>
    <t>6281553540500</t>
  </si>
  <si>
    <t>6285236829307</t>
  </si>
  <si>
    <t>6282257752295</t>
  </si>
  <si>
    <t>6289512326584</t>
  </si>
  <si>
    <t>6281219995779</t>
  </si>
  <si>
    <t>6281334512175</t>
  </si>
  <si>
    <t>6285895843084</t>
  </si>
  <si>
    <t>6281231932320</t>
  </si>
  <si>
    <t>6282233676635</t>
  </si>
  <si>
    <t>6283834671471</t>
  </si>
  <si>
    <t>6282174638218</t>
  </si>
  <si>
    <t>6281249086553</t>
  </si>
  <si>
    <t>6282234934754</t>
  </si>
  <si>
    <t>6281232335288</t>
  </si>
  <si>
    <t>6281361644082</t>
  </si>
  <si>
    <t>6281947627238</t>
  </si>
  <si>
    <t>6282132616910</t>
  </si>
  <si>
    <t>6281259590803</t>
  </si>
  <si>
    <t>6282330786677</t>
  </si>
  <si>
    <t>6285733054303</t>
  </si>
  <si>
    <t>6285706701536</t>
  </si>
  <si>
    <t>6282257187927</t>
  </si>
  <si>
    <t>6282229073554</t>
  </si>
  <si>
    <t>6285755947854</t>
  </si>
  <si>
    <t>6285646752652</t>
  </si>
  <si>
    <t>6281334487212</t>
  </si>
  <si>
    <t>6283130063052</t>
  </si>
  <si>
    <t>6283835954355</t>
  </si>
  <si>
    <t>6285851341079</t>
  </si>
  <si>
    <t>6281217184056</t>
  </si>
  <si>
    <t>6281216133566</t>
  </si>
  <si>
    <t>6285101438437</t>
  </si>
  <si>
    <t>628311820368</t>
  </si>
  <si>
    <t>6285859133386</t>
  </si>
  <si>
    <t>6285232450338</t>
  </si>
  <si>
    <t>6281235487312</t>
  </si>
  <si>
    <t>6282140989393</t>
  </si>
  <si>
    <t>6282245458667</t>
  </si>
  <si>
    <t>6285106541628</t>
  </si>
  <si>
    <t>6281332727790</t>
  </si>
  <si>
    <t>6281293466558</t>
  </si>
  <si>
    <t>6288801706964</t>
  </si>
  <si>
    <t>6283812845788</t>
  </si>
  <si>
    <t>6281334563102</t>
  </si>
  <si>
    <t>6285606327510</t>
  </si>
  <si>
    <t>6285655663555</t>
  </si>
  <si>
    <t>6281216393894</t>
  </si>
  <si>
    <t>6281252499097</t>
  </si>
  <si>
    <t>6282234828226</t>
  </si>
  <si>
    <t>6285755546500</t>
  </si>
  <si>
    <t>6287755666391</t>
  </si>
  <si>
    <t>6285335935653</t>
  </si>
  <si>
    <t>6282156090191</t>
  </si>
  <si>
    <t>6282245382854</t>
  </si>
  <si>
    <t>628993736500</t>
  </si>
  <si>
    <t>6283835324017</t>
  </si>
  <si>
    <t>6285649642912</t>
  </si>
  <si>
    <t>6285790904430</t>
  </si>
  <si>
    <t>6289694511943</t>
  </si>
  <si>
    <t>6281331673113</t>
  </si>
  <si>
    <t>6282251159691</t>
  </si>
  <si>
    <t>6281334399205</t>
  </si>
  <si>
    <t>6289654366322</t>
  </si>
  <si>
    <t>6285648685066</t>
  </si>
  <si>
    <t>6283846331723</t>
  </si>
  <si>
    <t>6287859028111</t>
  </si>
  <si>
    <t>6289654055525</t>
  </si>
  <si>
    <t>6281397611161</t>
  </si>
  <si>
    <t>6285230566613</t>
  </si>
  <si>
    <t>6282244546006</t>
  </si>
  <si>
    <t>6285624035917</t>
  </si>
  <si>
    <t>6281336790062</t>
  </si>
  <si>
    <t>6282245464997</t>
  </si>
  <si>
    <t>6281259708138</t>
  </si>
  <si>
    <t>6282332326445</t>
  </si>
  <si>
    <t>6282330386718</t>
  </si>
  <si>
    <t>POT HK</t>
  </si>
  <si>
    <t>TUNJANGAN TETAP</t>
  </si>
  <si>
    <t>UPAH DASAR</t>
  </si>
  <si>
    <t>UPAH POKOK</t>
  </si>
  <si>
    <t xml:space="preserve">UPAH DASAR </t>
  </si>
  <si>
    <t>POT. HARI KERJA</t>
  </si>
  <si>
    <t>Warsito</t>
  </si>
  <si>
    <t>6281249688543</t>
  </si>
  <si>
    <t>6281249586212</t>
  </si>
  <si>
    <t>CUTI/IZIN</t>
  </si>
  <si>
    <t>POTONGAN HARI KERJA</t>
  </si>
  <si>
    <t>POTONGAN CUTI/SC/IZIN</t>
  </si>
  <si>
    <t>CUTI/SC/IZIN</t>
  </si>
  <si>
    <t>Dony Aris Fianto</t>
  </si>
  <si>
    <t>Alissa Qotrunada Assyafi'iyah</t>
  </si>
  <si>
    <t>6282264060737</t>
  </si>
  <si>
    <t>6288805886641</t>
  </si>
  <si>
    <t>Hari Kerja</t>
  </si>
  <si>
    <t>6281249008752</t>
  </si>
  <si>
    <t>Gemalani Setiyaning Gusti</t>
  </si>
  <si>
    <t>6281230533887</t>
  </si>
  <si>
    <t>207</t>
  </si>
  <si>
    <t>6282131435246</t>
  </si>
  <si>
    <t>Siti Karimatul Abidah</t>
  </si>
  <si>
    <t>Anita Choirun Nisak</t>
  </si>
  <si>
    <t>Yanuar Rizal AR</t>
  </si>
  <si>
    <t>Novian Eka Rivaldi</t>
  </si>
  <si>
    <t>Rizky Maulidina</t>
  </si>
  <si>
    <t>Putri Maulidya Chasanah</t>
  </si>
  <si>
    <t>Dheaayu Rizky Mulya Tianti</t>
  </si>
  <si>
    <t>Miftachul Jannah</t>
  </si>
  <si>
    <t xml:space="preserve">Rizki Nur Azizah </t>
  </si>
  <si>
    <t>Sinta Nur hayati</t>
  </si>
  <si>
    <t>Kurniawan Tri Putra</t>
  </si>
  <si>
    <t>Pelaksana Front Office</t>
  </si>
  <si>
    <t>Pelaksana Kamar Bersalin</t>
  </si>
  <si>
    <t>Pelaksana Cleaning Service</t>
  </si>
  <si>
    <t>Pelaksana Analis Kesehatan</t>
  </si>
  <si>
    <t>Pelaksana Keuangan</t>
  </si>
  <si>
    <t>Pelaksana Logistik Farmasi</t>
  </si>
  <si>
    <t>Dokter Umum</t>
  </si>
  <si>
    <t>Pelaksana Radiografer</t>
  </si>
  <si>
    <t>Pelaksana IT</t>
  </si>
  <si>
    <t>Pelaksana Administrasi Laboratorium</t>
  </si>
  <si>
    <t>Pelaksana Poli Spesialis</t>
  </si>
  <si>
    <t>Pelaksana Instalasi Gizi</t>
  </si>
  <si>
    <t>Pelaksana Asisten Apoteker</t>
  </si>
  <si>
    <t>Pelaksana Ruang Rawat Inap 1</t>
  </si>
  <si>
    <t>Pelaksana Ruang Rawat Inap 2</t>
  </si>
  <si>
    <t>Pelaksana Administrasi Rawat Inap</t>
  </si>
  <si>
    <t>Pelaksana Kasir</t>
  </si>
  <si>
    <t>Pelaksana Rekam Medis</t>
  </si>
  <si>
    <t>Pelaksana Perinatologi</t>
  </si>
  <si>
    <t>Pelaksana IGD</t>
  </si>
  <si>
    <t>Pelaksana Elektro Medik</t>
  </si>
  <si>
    <t>Pelaksana Kesehatan Lingkungan</t>
  </si>
  <si>
    <t>Pelaksana CASEMIX</t>
  </si>
  <si>
    <t>Pelaksana Security</t>
  </si>
  <si>
    <t>Pelaksana HAR</t>
  </si>
  <si>
    <t>Pelaksana Ruang Rawat Inap 3</t>
  </si>
  <si>
    <t>Pelaksana Kamar Operasi</t>
  </si>
  <si>
    <t>Pelaksana Administrasi Rawat Jalan</t>
  </si>
  <si>
    <t>Pelaksana Driver</t>
  </si>
  <si>
    <t>Pelaksana ICU</t>
  </si>
  <si>
    <t>Pelaksana Administrasi Farmasi</t>
  </si>
  <si>
    <t>Pelaksana Pengadaan Farmasi</t>
  </si>
  <si>
    <t>Penanggungjawab Operasional Poli Eksekutif</t>
  </si>
  <si>
    <t>Pelaksana Administrasi Penjualan</t>
  </si>
  <si>
    <t>Penanggungjawab Operasional Kamar Operasi</t>
  </si>
  <si>
    <t>Pelaksana Apoteker Pendamping</t>
  </si>
  <si>
    <t>Pelaksana Administrasi Umum</t>
  </si>
  <si>
    <t>Pelaksana Payroll</t>
  </si>
  <si>
    <t>Pelaksana Coder Rawat Jalan &amp; IGD</t>
  </si>
  <si>
    <t>Pelaksana Gizi</t>
  </si>
  <si>
    <t>Pelaksana Laundry</t>
  </si>
  <si>
    <t xml:space="preserve"> </t>
  </si>
  <si>
    <t>6289602676928</t>
  </si>
  <si>
    <t>I</t>
  </si>
  <si>
    <t>II</t>
  </si>
  <si>
    <t>III</t>
  </si>
  <si>
    <t>OT</t>
  </si>
  <si>
    <t>Anisa Dian Sari</t>
  </si>
  <si>
    <t>M</t>
  </si>
  <si>
    <t>Esa Kurniawati</t>
  </si>
  <si>
    <t>24173</t>
  </si>
  <si>
    <t>24177</t>
  </si>
  <si>
    <t>24178</t>
  </si>
  <si>
    <t>24181</t>
  </si>
  <si>
    <t>24182</t>
  </si>
  <si>
    <t>24184</t>
  </si>
  <si>
    <t>24185</t>
  </si>
  <si>
    <t>24187</t>
  </si>
  <si>
    <t>24188</t>
  </si>
  <si>
    <t>24190</t>
  </si>
  <si>
    <t>24196</t>
  </si>
  <si>
    <t>24197</t>
  </si>
  <si>
    <t>24198</t>
  </si>
  <si>
    <t>24199</t>
  </si>
  <si>
    <t>24200</t>
  </si>
  <si>
    <t>24201</t>
  </si>
  <si>
    <t>24203</t>
  </si>
  <si>
    <t>24204</t>
  </si>
  <si>
    <t>24206</t>
  </si>
  <si>
    <t>24207</t>
  </si>
  <si>
    <t>24208</t>
  </si>
  <si>
    <t>24209</t>
  </si>
  <si>
    <t>24211</t>
  </si>
  <si>
    <t>24214</t>
  </si>
  <si>
    <t>24215</t>
  </si>
  <si>
    <t>24216</t>
  </si>
  <si>
    <t>24224</t>
  </si>
  <si>
    <t>24226</t>
  </si>
  <si>
    <t>24227</t>
  </si>
  <si>
    <t>24228</t>
  </si>
  <si>
    <t>24229</t>
  </si>
  <si>
    <t>24238</t>
  </si>
  <si>
    <t>24239</t>
  </si>
  <si>
    <t>24240</t>
  </si>
  <si>
    <t>24241</t>
  </si>
  <si>
    <t>24242</t>
  </si>
  <si>
    <t>24243</t>
  </si>
  <si>
    <t>24244</t>
  </si>
  <si>
    <t>24245</t>
  </si>
  <si>
    <t>24246</t>
  </si>
  <si>
    <t>24247</t>
  </si>
  <si>
    <t>24248</t>
  </si>
  <si>
    <t>24249</t>
  </si>
  <si>
    <t>24251</t>
  </si>
  <si>
    <t>24253</t>
  </si>
  <si>
    <t>24254</t>
  </si>
  <si>
    <t>25042</t>
  </si>
  <si>
    <t>25043</t>
  </si>
  <si>
    <t>25046</t>
  </si>
  <si>
    <t>25048</t>
  </si>
  <si>
    <t>25049</t>
  </si>
  <si>
    <t>31211</t>
  </si>
  <si>
    <t>31266</t>
  </si>
  <si>
    <t>31331</t>
  </si>
  <si>
    <t>31339</t>
  </si>
  <si>
    <t>31344</t>
  </si>
  <si>
    <t>31450</t>
  </si>
  <si>
    <t>31463</t>
  </si>
  <si>
    <t>31465</t>
  </si>
  <si>
    <t>34110</t>
  </si>
  <si>
    <t>34114</t>
  </si>
  <si>
    <t>34117</t>
  </si>
  <si>
    <t>35116</t>
  </si>
  <si>
    <t>35121</t>
  </si>
  <si>
    <t>35122</t>
  </si>
  <si>
    <t>35136</t>
  </si>
  <si>
    <t>35137</t>
  </si>
  <si>
    <t>35138</t>
  </si>
  <si>
    <t>35150</t>
  </si>
  <si>
    <t>35158</t>
  </si>
  <si>
    <t>35164</t>
  </si>
  <si>
    <t>35176</t>
  </si>
  <si>
    <t>36181</t>
  </si>
  <si>
    <t>36183</t>
  </si>
  <si>
    <t>36185</t>
  </si>
  <si>
    <t>36186</t>
  </si>
  <si>
    <t>36188</t>
  </si>
  <si>
    <t>36189</t>
  </si>
  <si>
    <t>36190</t>
  </si>
  <si>
    <t>36192</t>
  </si>
  <si>
    <t>36194</t>
  </si>
  <si>
    <t>36195</t>
  </si>
  <si>
    <t>36198</t>
  </si>
  <si>
    <t>36199</t>
  </si>
  <si>
    <t>36200</t>
  </si>
  <si>
    <t>36206</t>
  </si>
  <si>
    <t>36212</t>
  </si>
  <si>
    <t>36214</t>
  </si>
  <si>
    <t>36215</t>
  </si>
  <si>
    <t>36217</t>
  </si>
  <si>
    <t>36224</t>
  </si>
  <si>
    <t>36225</t>
  </si>
  <si>
    <t>36229</t>
  </si>
  <si>
    <t>36231</t>
  </si>
  <si>
    <t>36237</t>
  </si>
  <si>
    <t>36238</t>
  </si>
  <si>
    <t>36242</t>
  </si>
  <si>
    <t>36243</t>
  </si>
  <si>
    <t>36254</t>
  </si>
  <si>
    <t>36259</t>
  </si>
  <si>
    <t>36268</t>
  </si>
  <si>
    <t>36269</t>
  </si>
  <si>
    <t>36274</t>
  </si>
  <si>
    <t>36276</t>
  </si>
  <si>
    <t>36221</t>
  </si>
  <si>
    <t>36277</t>
  </si>
  <si>
    <t>36286</t>
  </si>
  <si>
    <t>36289</t>
  </si>
  <si>
    <t>36290</t>
  </si>
  <si>
    <t>36291</t>
  </si>
  <si>
    <t>36293</t>
  </si>
  <si>
    <t>36294</t>
  </si>
  <si>
    <t>36297</t>
  </si>
  <si>
    <t>36312</t>
  </si>
  <si>
    <t>36316</t>
  </si>
  <si>
    <t>36317</t>
  </si>
  <si>
    <t>36318</t>
  </si>
  <si>
    <t>36319</t>
  </si>
  <si>
    <t>36320</t>
  </si>
  <si>
    <t>36321</t>
  </si>
  <si>
    <t>36322</t>
  </si>
  <si>
    <t>36328</t>
  </si>
  <si>
    <t>36330</t>
  </si>
  <si>
    <t>36331</t>
  </si>
  <si>
    <t>36332</t>
  </si>
  <si>
    <t>36335</t>
  </si>
  <si>
    <t>36337</t>
  </si>
  <si>
    <t>36338</t>
  </si>
  <si>
    <t>36341</t>
  </si>
  <si>
    <t>36342</t>
  </si>
  <si>
    <t>36343</t>
  </si>
  <si>
    <t>36344</t>
  </si>
  <si>
    <t>36345</t>
  </si>
  <si>
    <t>36347</t>
  </si>
  <si>
    <t>36349</t>
  </si>
  <si>
    <t>36350</t>
  </si>
  <si>
    <t>36352</t>
  </si>
  <si>
    <t>78076</t>
  </si>
  <si>
    <t>24180</t>
  </si>
  <si>
    <t>24252</t>
  </si>
  <si>
    <t>35133</t>
  </si>
  <si>
    <t>36265</t>
  </si>
  <si>
    <t>35134</t>
  </si>
  <si>
    <t>31334</t>
  </si>
  <si>
    <t>24250</t>
  </si>
  <si>
    <t>24255</t>
  </si>
  <si>
    <t>6282264055224</t>
  </si>
  <si>
    <t>6289523952712</t>
  </si>
  <si>
    <t>6289673637242</t>
  </si>
  <si>
    <t>6285852682892</t>
  </si>
  <si>
    <t>6282335391881</t>
  </si>
  <si>
    <t>6285850302307</t>
  </si>
  <si>
    <t>6287759843004</t>
  </si>
  <si>
    <t>6282232480980</t>
  </si>
  <si>
    <t>6281330331084</t>
  </si>
  <si>
    <t>Rionaldy Rexy Johana Candra N</t>
  </si>
  <si>
    <t>Febri Dwi Anggara</t>
  </si>
  <si>
    <t xml:space="preserve">Pelaksana Keuangan </t>
  </si>
  <si>
    <t>6285259488384</t>
  </si>
  <si>
    <t>6281331960946</t>
  </si>
  <si>
    <t>6281252512868</t>
  </si>
  <si>
    <t>Dina Atika Ghaisani</t>
  </si>
  <si>
    <t>24258</t>
  </si>
  <si>
    <t>Mustaim Nur Hidayat</t>
  </si>
  <si>
    <t>24260</t>
  </si>
  <si>
    <t>24257</t>
  </si>
  <si>
    <t>6282215514509</t>
  </si>
  <si>
    <t>Fio Rezha Irawan</t>
  </si>
  <si>
    <t>Fianda Restalia, dr</t>
  </si>
  <si>
    <t>Pelaksana Casemix</t>
  </si>
  <si>
    <t>6285703701569</t>
  </si>
  <si>
    <t>6285745323536</t>
  </si>
  <si>
    <t>24261</t>
  </si>
  <si>
    <t>24267</t>
  </si>
  <si>
    <t>24270</t>
  </si>
  <si>
    <t>31/12</t>
  </si>
  <si>
    <t>25/12</t>
  </si>
  <si>
    <t>Mujiati</t>
  </si>
  <si>
    <t>Bimbi Wahyu Anggraini</t>
  </si>
  <si>
    <t>Pelaksana Marketing</t>
  </si>
  <si>
    <t>62895413294760</t>
  </si>
  <si>
    <t>Agus Saiful Amin</t>
  </si>
  <si>
    <t>Moch Khusni Mubaroq</t>
  </si>
  <si>
    <t>Deva Gita Carresa</t>
  </si>
  <si>
    <t>Revi Maqrisa</t>
  </si>
  <si>
    <t>Nur Avivatur Rohmah</t>
  </si>
  <si>
    <t>Errika Nur Cahyani</t>
  </si>
  <si>
    <t>Dewi Martinda Hartono, drg</t>
  </si>
  <si>
    <t>Aprilia Tri Kartikasari</t>
  </si>
  <si>
    <t>Donny Farid Budiharto</t>
  </si>
  <si>
    <t>Endang Sriyani</t>
  </si>
  <si>
    <t>Ananda Nicola Hidayat</t>
  </si>
  <si>
    <t>Dheeayu Rizky Mulya Tianti</t>
  </si>
  <si>
    <t>Aji Tama</t>
  </si>
  <si>
    <t>Dina Atika Ghisani</t>
  </si>
  <si>
    <t>Yuwana Hadi Wirawan</t>
  </si>
  <si>
    <t>Nellindra Lyanta Sukma</t>
  </si>
  <si>
    <t>M Abdur Rohman</t>
  </si>
  <si>
    <t>Muhammad Arifin</t>
  </si>
  <si>
    <t>Nurul Maulidya</t>
  </si>
  <si>
    <t>Maulana Issa Harris</t>
  </si>
  <si>
    <t>Ery Arumingtyas Dewantini</t>
  </si>
  <si>
    <t>Dokter Gigi</t>
  </si>
  <si>
    <t>Pelaksana Rawat Inap 1</t>
  </si>
  <si>
    <t>6282332784365</t>
  </si>
  <si>
    <t>6281917920100</t>
  </si>
  <si>
    <t>6282131522487</t>
  </si>
  <si>
    <t>62895376688567</t>
  </si>
  <si>
    <t>6285852745012</t>
  </si>
  <si>
    <t>6287754079194</t>
  </si>
  <si>
    <t>6285646088777</t>
  </si>
  <si>
    <t>6283835784904</t>
  </si>
  <si>
    <t>6282140031085</t>
  </si>
  <si>
    <t>6282232836927</t>
  </si>
  <si>
    <t>6285649134174</t>
  </si>
  <si>
    <t>6289639107600</t>
  </si>
  <si>
    <t>Pelaksana Administrasi BAPEL JPPK</t>
  </si>
  <si>
    <t>24259</t>
  </si>
  <si>
    <t>24262</t>
  </si>
  <si>
    <t>24263</t>
  </si>
  <si>
    <t>24264</t>
  </si>
  <si>
    <t>24265</t>
  </si>
  <si>
    <t>24266</t>
  </si>
  <si>
    <t>24269</t>
  </si>
  <si>
    <t>24271</t>
  </si>
  <si>
    <t>24272</t>
  </si>
  <si>
    <t>24274</t>
  </si>
  <si>
    <t>24275</t>
  </si>
  <si>
    <t>24277</t>
  </si>
  <si>
    <t>24278</t>
  </si>
  <si>
    <t>24284</t>
  </si>
  <si>
    <t>24221</t>
  </si>
  <si>
    <t>24291</t>
  </si>
  <si>
    <t>14/1</t>
  </si>
  <si>
    <t>31/1</t>
  </si>
  <si>
    <t>22/1</t>
  </si>
  <si>
    <t>1/1</t>
  </si>
  <si>
    <t>12/1</t>
  </si>
  <si>
    <t>8/1</t>
  </si>
  <si>
    <t>17/1</t>
  </si>
  <si>
    <t>25/1</t>
  </si>
  <si>
    <t>20/1</t>
  </si>
  <si>
    <t>27/1</t>
  </si>
  <si>
    <t>HD</t>
  </si>
  <si>
    <t>11/1</t>
  </si>
  <si>
    <t>13/1</t>
  </si>
  <si>
    <t>Alda Haslinda</t>
  </si>
  <si>
    <t>Rif'ah Fina Maulida</t>
  </si>
  <si>
    <t>Ulfah Mufidah Zachroh Suprali Putri</t>
  </si>
  <si>
    <t>Rendi Jati Arbianto</t>
  </si>
  <si>
    <t>Alfi Mahmuda</t>
  </si>
  <si>
    <t>6282132950286</t>
  </si>
  <si>
    <t>Feminar Lintang Hakiki</t>
  </si>
  <si>
    <t>Novitri Setyowati</t>
  </si>
  <si>
    <t>Hoirul Amanda Putra</t>
  </si>
  <si>
    <t>Novita Wulansari</t>
  </si>
  <si>
    <t>Cahyani Irmawati</t>
  </si>
  <si>
    <t>Avira Hajar Sawitri</t>
  </si>
  <si>
    <t>Bagus Setia Prayitno</t>
  </si>
  <si>
    <t>Rizal Sahril Sabirin</t>
  </si>
  <si>
    <t>Pelaksana Rawat Inap 3</t>
  </si>
  <si>
    <t>Pelaksana CSSD</t>
  </si>
  <si>
    <t>Pelaksana Fisioterapis</t>
  </si>
  <si>
    <t>6285852326408</t>
  </si>
  <si>
    <t>6289635109737</t>
  </si>
  <si>
    <t>6289680630079</t>
  </si>
  <si>
    <t>6281336473474</t>
  </si>
  <si>
    <t>6282234558948</t>
  </si>
  <si>
    <t>6285859222229</t>
  </si>
  <si>
    <t>6281234519266</t>
  </si>
  <si>
    <t>628563600255</t>
  </si>
  <si>
    <t>6282352770295</t>
  </si>
  <si>
    <t>6282234261242</t>
  </si>
  <si>
    <t>6281359144990</t>
  </si>
  <si>
    <t>4/2</t>
  </si>
  <si>
    <t>11/2</t>
  </si>
  <si>
    <t>18/2</t>
  </si>
  <si>
    <t>25/2</t>
  </si>
  <si>
    <t>2/2</t>
  </si>
  <si>
    <t>6/2</t>
  </si>
  <si>
    <t>13/2</t>
  </si>
  <si>
    <t>27/2</t>
  </si>
  <si>
    <t>28/2</t>
  </si>
  <si>
    <t>10/2</t>
  </si>
  <si>
    <t>14/2</t>
  </si>
  <si>
    <t>5/2</t>
  </si>
  <si>
    <t>1/2</t>
  </si>
  <si>
    <t>19/2</t>
  </si>
  <si>
    <t>21/2</t>
  </si>
  <si>
    <t>26/2</t>
  </si>
  <si>
    <t>12/2</t>
  </si>
  <si>
    <t>9/2</t>
  </si>
  <si>
    <t>23/2</t>
  </si>
  <si>
    <t>3/2</t>
  </si>
  <si>
    <t>24/2</t>
  </si>
  <si>
    <t>S2</t>
  </si>
  <si>
    <t>17/2</t>
  </si>
  <si>
    <t>20/2</t>
  </si>
  <si>
    <t>15/2</t>
  </si>
  <si>
    <t>7/2</t>
  </si>
  <si>
    <t>16/2</t>
  </si>
  <si>
    <t>22/2</t>
  </si>
  <si>
    <t>8/2</t>
  </si>
  <si>
    <t>FEB</t>
  </si>
  <si>
    <t>15/3</t>
  </si>
  <si>
    <t>M III</t>
  </si>
  <si>
    <t>24273</t>
  </si>
  <si>
    <t>24276</t>
  </si>
  <si>
    <t>24279</t>
  </si>
  <si>
    <t>24280</t>
  </si>
  <si>
    <t>24281</t>
  </si>
  <si>
    <t>24282</t>
  </si>
  <si>
    <t>24283</t>
  </si>
  <si>
    <t>24285</t>
  </si>
  <si>
    <t>24287</t>
  </si>
  <si>
    <t>24288</t>
  </si>
  <si>
    <t>24289</t>
  </si>
  <si>
    <t>April 2023</t>
  </si>
  <si>
    <t xml:space="preserve">Pelaksana Ruang Rawat Inap 3 </t>
  </si>
  <si>
    <t>Pelaksana Poli Eksekutif</t>
  </si>
  <si>
    <t>D:\2. DATA DAVID SETIYAWAN\15.STRUK GAJI\struk gaji whatsapp\PDF 2023\4.PDF APRIL WA\3.PDF RSU PINDAD APRIL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</si>
</sst>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164" formatCode="_(&quot;Rp&quot;* #,##0_);_(&quot;Rp&quot;* \(#,##0\);_(&quot;Rp&quot;* &quot;-&quot;_);_(@_)"/>
    <numFmt numFmtId="165" formatCode="_-&quot;Rp&quot;* #,##0_-;\-&quot;Rp&quot;* #,##0_-;_-&quot;Rp&quot;* &quot;-&quot;_-;_-@_-"/>
    <numFmt numFmtId="166" formatCode="_-* #,##0_-;\-* #,##0_-;_-* &quot;-&quot;_-;_-@_-"/>
    <numFmt numFmtId="167" formatCode="@\ * &quot;:&quot;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Tahoma"/>
      <family val="2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b/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sz val="8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1"/>
      <color rgb="FF333333"/>
      <name val="Calibri"/>
      <family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1" fontId="13" fillId="0" borderId="0" applyFont="0" applyFill="0" applyBorder="0" applyAlignment="0" applyProtection="0"/>
    <xf numFmtId="0" fontId="13" fillId="0" borderId="0"/>
    <xf numFmtId="41" fontId="14" fillId="0" borderId="0" applyFont="0" applyFill="0" applyBorder="0" applyAlignment="0" applyProtection="0"/>
  </cellStyleXfs>
  <cellXfs count="190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8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7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7" fillId="0" borderId="7" xfId="0" applyFont="1" applyBorder="1" applyAlignment="1">
      <alignment vertical="center"/>
    </xf>
    <xf numFmtId="165" fontId="9" fillId="0" borderId="0" xfId="0" applyNumberFormat="1" applyFont="1" applyAlignment="1">
      <alignment vertical="center"/>
    </xf>
    <xf numFmtId="0" fontId="7" fillId="0" borderId="9" xfId="0" applyFont="1" applyBorder="1" applyAlignment="1">
      <alignment vertical="center"/>
    </xf>
    <xf numFmtId="165" fontId="7" fillId="0" borderId="9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0" fontId="10" fillId="0" borderId="0" xfId="0" applyFont="1" applyAlignment="1">
      <alignment vertical="top"/>
    </xf>
    <xf numFmtId="49" fontId="0" fillId="0" borderId="1" xfId="0" applyNumberFormat="1" applyBorder="1" applyAlignment="1">
      <alignment horizontal="center" vertical="center"/>
    </xf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vertical="center"/>
    </xf>
    <xf numFmtId="49" fontId="1" fillId="0" borderId="0" xfId="0" quotePrefix="1" applyNumberFormat="1" applyFont="1" applyAlignment="1">
      <alignment vertical="center"/>
    </xf>
    <xf numFmtId="49" fontId="1" fillId="0" borderId="0" xfId="0" quotePrefix="1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quotePrefix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vertical="center"/>
    </xf>
    <xf numFmtId="17" fontId="12" fillId="0" borderId="0" xfId="0" applyNumberFormat="1" applyFont="1" applyAlignment="1">
      <alignment vertical="center"/>
    </xf>
    <xf numFmtId="49" fontId="0" fillId="0" borderId="1" xfId="0" applyNumberFormat="1" applyBorder="1" applyAlignment="1">
      <alignment vertical="center"/>
    </xf>
    <xf numFmtId="0" fontId="17" fillId="0" borderId="1" xfId="0" applyFont="1" applyBorder="1" applyAlignment="1">
      <alignment vertical="center"/>
    </xf>
    <xf numFmtId="0" fontId="17" fillId="0" borderId="1" xfId="0" applyFont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49" fontId="1" fillId="0" borderId="0" xfId="0" quotePrefix="1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166" fontId="18" fillId="0" borderId="0" xfId="1" applyNumberFormat="1" applyFont="1" applyFill="1" applyBorder="1" applyAlignment="1">
      <alignment horizontal="left"/>
    </xf>
    <xf numFmtId="166" fontId="18" fillId="0" borderId="0" xfId="0" applyNumberFormat="1" applyFont="1" applyAlignment="1">
      <alignment horizontal="left"/>
    </xf>
    <xf numFmtId="0" fontId="19" fillId="0" borderId="0" xfId="0" applyFont="1" applyAlignment="1">
      <alignment horizontal="center" vertical="center"/>
    </xf>
    <xf numFmtId="166" fontId="19" fillId="0" borderId="0" xfId="1" applyNumberFormat="1" applyFont="1" applyFill="1" applyBorder="1" applyAlignment="1">
      <alignment horizontal="left"/>
    </xf>
    <xf numFmtId="166" fontId="19" fillId="0" borderId="0" xfId="0" applyNumberFormat="1" applyFont="1" applyAlignment="1">
      <alignment horizontal="left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vertical="center"/>
    </xf>
    <xf numFmtId="16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1" xfId="0" quotePrefix="1" applyFont="1" applyBorder="1" applyAlignment="1">
      <alignment horizontal="center" vertical="center"/>
    </xf>
    <xf numFmtId="16" fontId="19" fillId="0" borderId="1" xfId="0" quotePrefix="1" applyNumberFormat="1" applyFont="1" applyBorder="1" applyAlignment="1">
      <alignment horizontal="center" vertical="center"/>
    </xf>
    <xf numFmtId="0" fontId="19" fillId="0" borderId="1" xfId="0" applyFont="1" applyBorder="1"/>
    <xf numFmtId="0" fontId="19" fillId="0" borderId="1" xfId="3" applyNumberFormat="1" applyFont="1" applyFill="1" applyBorder="1" applyAlignment="1">
      <alignment horizontal="center" vertical="center"/>
    </xf>
    <xf numFmtId="41" fontId="0" fillId="0" borderId="1" xfId="0" applyNumberFormat="1" applyBorder="1"/>
    <xf numFmtId="41" fontId="19" fillId="0" borderId="1" xfId="0" applyNumberFormat="1" applyFont="1" applyBorder="1"/>
    <xf numFmtId="41" fontId="1" fillId="0" borderId="1" xfId="0" applyNumberFormat="1" applyFont="1" applyBorder="1"/>
    <xf numFmtId="0" fontId="1" fillId="0" borderId="0" xfId="0" applyFont="1"/>
    <xf numFmtId="0" fontId="19" fillId="0" borderId="1" xfId="0" quotePrefix="1" applyFont="1" applyBorder="1" applyAlignment="1">
      <alignment horizontal="center" vertical="center" wrapText="1"/>
    </xf>
    <xf numFmtId="49" fontId="0" fillId="0" borderId="5" xfId="0" applyNumberFormat="1" applyBorder="1" applyAlignme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6" xfId="0" applyNumberFormat="1" applyBorder="1" applyAlignment="1">
      <alignment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quotePrefix="1" applyNumberFormat="1" applyBorder="1" applyAlignment="1">
      <alignment horizontal="left" vertical="center"/>
    </xf>
    <xf numFmtId="49" fontId="0" fillId="0" borderId="4" xfId="0" applyNumberFormat="1" applyBorder="1" applyAlignment="1">
      <alignment vertical="center"/>
    </xf>
    <xf numFmtId="1" fontId="1" fillId="0" borderId="0" xfId="0" quotePrefix="1" applyNumberFormat="1" applyFont="1" applyAlignment="1">
      <alignment vertical="center"/>
    </xf>
    <xf numFmtId="49" fontId="8" fillId="0" borderId="0" xfId="0" applyNumberFormat="1" applyFont="1" applyAlignment="1">
      <alignment horizontal="right" vertical="center"/>
    </xf>
    <xf numFmtId="0" fontId="0" fillId="0" borderId="0" xfId="0" applyAlignment="1">
      <alignment horizontal="right" vertical="center" indent="1"/>
    </xf>
    <xf numFmtId="0" fontId="1" fillId="0" borderId="0" xfId="0" applyFont="1" applyAlignment="1">
      <alignment horizontal="right" vertical="center" indent="1"/>
    </xf>
    <xf numFmtId="167" fontId="1" fillId="0" borderId="2" xfId="0" applyNumberFormat="1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9" fillId="0" borderId="0" xfId="0" applyFont="1" applyAlignment="1">
      <alignment horizontal="right" vertical="center"/>
    </xf>
    <xf numFmtId="0" fontId="0" fillId="0" borderId="1" xfId="0" applyBorder="1"/>
    <xf numFmtId="0" fontId="1" fillId="0" borderId="1" xfId="0" applyFont="1" applyBorder="1"/>
    <xf numFmtId="49" fontId="9" fillId="0" borderId="0" xfId="0" applyNumberFormat="1" applyFont="1" applyAlignment="1">
      <alignment vertical="center"/>
    </xf>
    <xf numFmtId="41" fontId="21" fillId="0" borderId="1" xfId="0" applyNumberFormat="1" applyFon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49" fontId="0" fillId="3" borderId="5" xfId="0" applyNumberFormat="1" applyFill="1" applyBorder="1" applyAlignment="1">
      <alignment horizontal="center" vertical="center"/>
    </xf>
    <xf numFmtId="0" fontId="19" fillId="3" borderId="1" xfId="0" quotePrefix="1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41" fontId="0" fillId="3" borderId="1" xfId="0" applyNumberFormat="1" applyFill="1" applyBorder="1"/>
    <xf numFmtId="0" fontId="1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" fontId="0" fillId="5" borderId="1" xfId="0" applyNumberFormat="1" applyFill="1" applyBorder="1" applyAlignment="1">
      <alignment horizontal="center" vertical="center"/>
    </xf>
    <xf numFmtId="0" fontId="19" fillId="5" borderId="1" xfId="0" quotePrefix="1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41" fontId="0" fillId="5" borderId="1" xfId="0" applyNumberFormat="1" applyFill="1" applyBorder="1"/>
    <xf numFmtId="49" fontId="0" fillId="5" borderId="1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16" fontId="0" fillId="3" borderId="1" xfId="0" quotePrefix="1" applyNumberForma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/>
    </xf>
    <xf numFmtId="49" fontId="0" fillId="5" borderId="5" xfId="0" applyNumberFormat="1" applyFill="1" applyBorder="1" applyAlignment="1">
      <alignment horizontal="left" vertical="center"/>
    </xf>
    <xf numFmtId="49" fontId="0" fillId="5" borderId="2" xfId="0" applyNumberFormat="1" applyFill="1" applyBorder="1" applyAlignment="1">
      <alignment horizontal="left" vertical="center"/>
    </xf>
    <xf numFmtId="49" fontId="1" fillId="3" borderId="1" xfId="0" applyNumberFormat="1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right" vertical="center"/>
    </xf>
    <xf numFmtId="49" fontId="0" fillId="3" borderId="5" xfId="0" applyNumberFormat="1" applyFill="1" applyBorder="1" applyAlignment="1">
      <alignment horizontal="right" vertical="center"/>
    </xf>
    <xf numFmtId="49" fontId="0" fillId="3" borderId="6" xfId="0" applyNumberFormat="1" applyFill="1" applyBorder="1" applyAlignment="1">
      <alignment horizontal="right" vertical="center"/>
    </xf>
    <xf numFmtId="49" fontId="1" fillId="5" borderId="1" xfId="0" applyNumberFormat="1" applyFont="1" applyFill="1" applyBorder="1" applyAlignment="1">
      <alignment horizontal="center" vertical="center" wrapText="1"/>
    </xf>
    <xf numFmtId="49" fontId="2" fillId="5" borderId="1" xfId="0" applyNumberFormat="1" applyFont="1" applyFill="1" applyBorder="1" applyAlignment="1">
      <alignment horizontal="center" vertical="center"/>
    </xf>
    <xf numFmtId="49" fontId="0" fillId="5" borderId="1" xfId="0" applyNumberFormat="1" applyFill="1" applyBorder="1" applyAlignment="1">
      <alignment horizontal="right" vertical="center"/>
    </xf>
    <xf numFmtId="49" fontId="0" fillId="5" borderId="5" xfId="0" applyNumberFormat="1" applyFill="1" applyBorder="1" applyAlignment="1">
      <alignment horizontal="right" vertical="center"/>
    </xf>
    <xf numFmtId="49" fontId="0" fillId="5" borderId="6" xfId="0" applyNumberFormat="1" applyFill="1" applyBorder="1" applyAlignment="1">
      <alignment horizontal="right" vertical="center"/>
    </xf>
    <xf numFmtId="0" fontId="1" fillId="5" borderId="6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0" fillId="5" borderId="1" xfId="0" applyFill="1" applyBorder="1"/>
    <xf numFmtId="41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9" fillId="6" borderId="1" xfId="0" applyFont="1" applyFill="1" applyBorder="1"/>
    <xf numFmtId="0" fontId="19" fillId="6" borderId="1" xfId="0" applyFont="1" applyFill="1" applyBorder="1" applyAlignment="1">
      <alignment horizontal="center" vertical="center"/>
    </xf>
    <xf numFmtId="41" fontId="0" fillId="6" borderId="1" xfId="0" applyNumberFormat="1" applyFill="1" applyBorder="1"/>
    <xf numFmtId="41" fontId="1" fillId="6" borderId="1" xfId="0" applyNumberFormat="1" applyFont="1" applyFill="1" applyBorder="1"/>
    <xf numFmtId="0" fontId="19" fillId="6" borderId="1" xfId="3" applyNumberFormat="1" applyFont="1" applyFill="1" applyBorder="1" applyAlignment="1">
      <alignment horizontal="center" vertical="center"/>
    </xf>
    <xf numFmtId="0" fontId="19" fillId="6" borderId="1" xfId="0" quotePrefix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vertical="center"/>
    </xf>
    <xf numFmtId="16" fontId="19" fillId="6" borderId="1" xfId="0" quotePrefix="1" applyNumberFormat="1" applyFont="1" applyFill="1" applyBorder="1" applyAlignment="1">
      <alignment horizontal="center" vertical="center"/>
    </xf>
    <xf numFmtId="41" fontId="19" fillId="6" borderId="1" xfId="0" applyNumberFormat="1" applyFont="1" applyFill="1" applyBorder="1"/>
    <xf numFmtId="0" fontId="0" fillId="6" borderId="1" xfId="0" applyFill="1" applyBorder="1"/>
    <xf numFmtId="0" fontId="1" fillId="6" borderId="1" xfId="0" applyFont="1" applyFill="1" applyBorder="1"/>
    <xf numFmtId="16" fontId="19" fillId="6" borderId="1" xfId="0" applyNumberFormat="1" applyFont="1" applyFill="1" applyBorder="1" applyAlignment="1">
      <alignment horizontal="center" vertical="center"/>
    </xf>
    <xf numFmtId="41" fontId="19" fillId="6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 wrapText="1"/>
    </xf>
    <xf numFmtId="166" fontId="20" fillId="0" borderId="1" xfId="2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6" fontId="19" fillId="0" borderId="1" xfId="0" quotePrefix="1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9" fillId="6" borderId="1" xfId="0" quotePrefix="1" applyFont="1" applyFill="1" applyBorder="1" applyAlignment="1">
      <alignment horizontal="center" vertical="center" wrapText="1"/>
    </xf>
    <xf numFmtId="167" fontId="1" fillId="0" borderId="0" xfId="0" applyNumberFormat="1" applyFont="1" applyAlignment="1">
      <alignment horizontal="left" vertical="center"/>
    </xf>
    <xf numFmtId="49" fontId="1" fillId="4" borderId="5" xfId="0" applyNumberFormat="1" applyFont="1" applyFill="1" applyBorder="1" applyAlignment="1">
      <alignment horizontal="center" vertical="center" wrapText="1"/>
    </xf>
    <xf numFmtId="49" fontId="1" fillId="4" borderId="6" xfId="0" applyNumberFormat="1" applyFont="1" applyFill="1" applyBorder="1" applyAlignment="1">
      <alignment horizontal="center" vertical="center" wrapText="1"/>
    </xf>
    <xf numFmtId="49" fontId="1" fillId="4" borderId="1" xfId="0" applyNumberFormat="1" applyFont="1" applyFill="1" applyBorder="1" applyAlignment="1">
      <alignment horizontal="center" vertical="center" wrapText="1"/>
    </xf>
    <xf numFmtId="49" fontId="1" fillId="4" borderId="1" xfId="0" applyNumberFormat="1" applyFont="1" applyFill="1" applyBorder="1" applyAlignment="1">
      <alignment horizontal="center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3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49" fontId="1" fillId="5" borderId="5" xfId="0" applyNumberFormat="1" applyFont="1" applyFill="1" applyBorder="1" applyAlignment="1">
      <alignment horizontal="center" vertical="center" wrapText="1"/>
    </xf>
    <xf numFmtId="49" fontId="1" fillId="5" borderId="6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49" fontId="1" fillId="3" borderId="5" xfId="0" applyNumberFormat="1" applyFont="1" applyFill="1" applyBorder="1" applyAlignment="1">
      <alignment horizontal="center" vertical="center" wrapText="1"/>
    </xf>
    <xf numFmtId="49" fontId="1" fillId="3" borderId="6" xfId="0" applyNumberFormat="1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6" fontId="20" fillId="0" borderId="1" xfId="2" applyNumberFormat="1" applyFont="1" applyBorder="1" applyAlignment="1">
      <alignment horizontal="center" vertical="center"/>
    </xf>
    <xf numFmtId="166" fontId="20" fillId="0" borderId="1" xfId="1" applyNumberFormat="1" applyFont="1" applyFill="1" applyBorder="1" applyAlignment="1">
      <alignment horizontal="center" vertical="center"/>
    </xf>
    <xf numFmtId="0" fontId="20" fillId="0" borderId="1" xfId="2" applyFont="1" applyBorder="1" applyAlignment="1">
      <alignment horizontal="center" vertical="center"/>
    </xf>
    <xf numFmtId="0" fontId="20" fillId="0" borderId="1" xfId="3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 vertical="center"/>
    </xf>
    <xf numFmtId="164" fontId="17" fillId="0" borderId="4" xfId="0" applyNumberFormat="1" applyFont="1" applyBorder="1" applyAlignment="1">
      <alignment horizontal="center" vertical="center"/>
    </xf>
    <xf numFmtId="165" fontId="2" fillId="2" borderId="12" xfId="0" applyNumberFormat="1" applyFont="1" applyFill="1" applyBorder="1" applyAlignment="1">
      <alignment horizontal="center" vertical="center"/>
    </xf>
    <xf numFmtId="165" fontId="2" fillId="2" borderId="13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11" xfId="0" applyFont="1" applyBorder="1" applyAlignment="1">
      <alignment horizontal="left" vertical="center" wrapText="1"/>
    </xf>
    <xf numFmtId="164" fontId="9" fillId="0" borderId="8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0" fillId="0" borderId="14" xfId="0" applyFont="1" applyBorder="1" applyAlignment="1">
      <alignment horizontal="center" vertical="top" wrapText="1"/>
    </xf>
    <xf numFmtId="0" fontId="10" fillId="0" borderId="15" xfId="0" applyFont="1" applyBorder="1" applyAlignment="1">
      <alignment horizontal="center" vertical="top" wrapText="1"/>
    </xf>
    <xf numFmtId="0" fontId="10" fillId="0" borderId="10" xfId="0" applyFont="1" applyBorder="1" applyAlignment="1">
      <alignment horizontal="center" vertical="top" wrapText="1"/>
    </xf>
    <xf numFmtId="0" fontId="10" fillId="0" borderId="16" xfId="0" applyFont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10" fillId="0" borderId="17" xfId="0" applyFont="1" applyBorder="1" applyAlignment="1">
      <alignment horizontal="center" vertical="top" wrapText="1"/>
    </xf>
    <xf numFmtId="0" fontId="0" fillId="0" borderId="0" xfId="0" applyAlignment="1">
      <alignment horizontal="left" vertical="center"/>
    </xf>
    <xf numFmtId="164" fontId="17" fillId="0" borderId="1" xfId="0" applyNumberFormat="1" applyFont="1" applyBorder="1" applyAlignment="1">
      <alignment horizontal="center" vertical="center"/>
    </xf>
  </cellXfs>
  <cellStyles count="4">
    <cellStyle name="Comma [0]" xfId="1" builtinId="6"/>
    <cellStyle name="Comma [0] 2" xfId="3" xr:uid="{00000000-0005-0000-0000-000001000000}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colors>
    <mruColors>
      <color rgb="FF66FF33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63500</xdr:rowOff>
        </xdr:from>
        <xdr:to>
          <xdr:col>11</xdr:col>
          <xdr:colOff>177800</xdr:colOff>
          <xdr:row>9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</xdr:row>
          <xdr:rowOff>63500</xdr:rowOff>
        </xdr:from>
        <xdr:to>
          <xdr:col>12</xdr:col>
          <xdr:colOff>419100</xdr:colOff>
          <xdr:row>9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Verdana" pitchFamily="2" charset="0"/>
                  <a:ea typeface="Verdana" pitchFamily="2" charset="0"/>
                  <a:cs typeface="Verdana" pitchFamily="2" charset="0"/>
                </a:rPr>
                <a:t>Print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25400</xdr:rowOff>
        </xdr:from>
        <xdr:to>
          <xdr:col>10</xdr:col>
          <xdr:colOff>368300</xdr:colOff>
          <xdr:row>2</xdr:row>
          <xdr:rowOff>139700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431800</xdr:colOff>
          <xdr:row>1</xdr:row>
          <xdr:rowOff>25400</xdr:rowOff>
        </xdr:from>
        <xdr:to>
          <xdr:col>11</xdr:col>
          <xdr:colOff>190500</xdr:colOff>
          <xdr:row>2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254000</xdr:colOff>
          <xdr:row>1</xdr:row>
          <xdr:rowOff>25400</xdr:rowOff>
        </xdr:from>
        <xdr:to>
          <xdr:col>12</xdr:col>
          <xdr:colOff>12700</xdr:colOff>
          <xdr:row>2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1</xdr:row>
          <xdr:rowOff>25400</xdr:rowOff>
        </xdr:from>
        <xdr:to>
          <xdr:col>12</xdr:col>
          <xdr:colOff>419100</xdr:colOff>
          <xdr:row>2</xdr:row>
          <xdr:rowOff>139700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63500</xdr:rowOff>
        </xdr:from>
        <xdr:to>
          <xdr:col>12</xdr:col>
          <xdr:colOff>419100</xdr:colOff>
          <xdr:row>7</xdr:row>
          <xdr:rowOff>12700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139700</xdr:rowOff>
        </xdr:from>
        <xdr:to>
          <xdr:col>12</xdr:col>
          <xdr:colOff>406400</xdr:colOff>
          <xdr:row>12</xdr:row>
          <xdr:rowOff>101600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Satu Karyawan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ke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51954</xdr:colOff>
      <xdr:row>0</xdr:row>
      <xdr:rowOff>63475</xdr:rowOff>
    </xdr:from>
    <xdr:to>
      <xdr:col>2</xdr:col>
      <xdr:colOff>432954</xdr:colOff>
      <xdr:row>3</xdr:row>
      <xdr:rowOff>112568</xdr:rowOff>
    </xdr:to>
    <xdr:pic>
      <xdr:nvPicPr>
        <xdr:cNvPr id="12" name="Picture 11" descr="21213011619_01369b8cac_b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54" y="63475"/>
          <a:ext cx="1584614" cy="6725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69272</xdr:colOff>
      <xdr:row>28</xdr:row>
      <xdr:rowOff>51954</xdr:rowOff>
    </xdr:from>
    <xdr:to>
      <xdr:col>2</xdr:col>
      <xdr:colOff>450272</xdr:colOff>
      <xdr:row>31</xdr:row>
      <xdr:rowOff>153002</xdr:rowOff>
    </xdr:to>
    <xdr:pic>
      <xdr:nvPicPr>
        <xdr:cNvPr id="13" name="Picture 12" descr="21213011619_01369b8cac_b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72" y="4788477"/>
          <a:ext cx="1584614" cy="6725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63500</xdr:rowOff>
        </xdr:from>
        <xdr:to>
          <xdr:col>12</xdr:col>
          <xdr:colOff>406400</xdr:colOff>
          <xdr:row>5</xdr:row>
          <xdr:rowOff>25400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Cari Karyawan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12</xdr:row>
          <xdr:rowOff>165100</xdr:rowOff>
        </xdr:from>
        <xdr:to>
          <xdr:col>12</xdr:col>
          <xdr:colOff>419100</xdr:colOff>
          <xdr:row>15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Semua Karyawan ke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927100</xdr:colOff>
          <xdr:row>12</xdr:row>
          <xdr:rowOff>25400</xdr:rowOff>
        </xdr:from>
        <xdr:to>
          <xdr:col>13</xdr:col>
          <xdr:colOff>977900</xdr:colOff>
          <xdr:row>15</xdr:row>
          <xdr:rowOff>177800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3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Kirim WA ke Semua Karyawan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939800</xdr:colOff>
          <xdr:row>7</xdr:row>
          <xdr:rowOff>63500</xdr:rowOff>
        </xdr:from>
        <xdr:to>
          <xdr:col>13</xdr:col>
          <xdr:colOff>1003300</xdr:colOff>
          <xdr:row>11</xdr:row>
          <xdr:rowOff>101600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Kirim WA ke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Satu Karyawan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927100</xdr:colOff>
          <xdr:row>16</xdr:row>
          <xdr:rowOff>165100</xdr:rowOff>
        </xdr:from>
        <xdr:to>
          <xdr:col>13</xdr:col>
          <xdr:colOff>977900</xdr:colOff>
          <xdr:row>20</xdr:row>
          <xdr:rowOff>165100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Kirim WA ke Beberapa Karyawan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F213"/>
  <sheetViews>
    <sheetView tabSelected="1" zoomScaleNormal="100" workbookViewId="0">
      <pane xSplit="7" ySplit="8" topLeftCell="H9" activePane="bottomRight" state="frozen"/>
      <selection pane="topRight" activeCell="F1" sqref="F1"/>
      <selection pane="bottomLeft" activeCell="A9" sqref="A9"/>
      <selection pane="bottomRight" activeCell="C5" sqref="C5"/>
    </sheetView>
  </sheetViews>
  <sheetFormatPr baseColWidth="10" defaultColWidth="9.1640625" defaultRowHeight="15" x14ac:dyDescent="0.2"/>
  <cols>
    <col min="1" max="1" width="4.6640625" style="16" customWidth="1"/>
    <col min="2" max="2" width="29.5" style="16" bestFit="1" customWidth="1"/>
    <col min="3" max="3" width="7.1640625" style="19" customWidth="1"/>
    <col min="4" max="4" width="8.5" style="19" customWidth="1"/>
    <col min="5" max="5" width="7.5" style="19" customWidth="1"/>
    <col min="6" max="6" width="6.1640625" style="19" customWidth="1"/>
    <col min="7" max="7" width="51.33203125" style="16" bestFit="1" customWidth="1"/>
    <col min="8" max="29" width="15.6640625" style="16" customWidth="1"/>
    <col min="30" max="30" width="33.1640625" style="16" customWidth="1"/>
    <col min="31" max="31" width="30.5" style="67" customWidth="1"/>
    <col min="32" max="32" width="26" style="16" customWidth="1"/>
    <col min="33" max="33" width="6.1640625" style="4" bestFit="1" customWidth="1"/>
    <col min="34" max="34" width="41.5" style="16" hidden="1" customWidth="1"/>
    <col min="35" max="35" width="0" style="16" hidden="1" customWidth="1"/>
    <col min="36" max="16384" width="9.1640625" style="16"/>
  </cols>
  <sheetData>
    <row r="1" spans="1:35" x14ac:dyDescent="0.2">
      <c r="A1" s="142" t="s">
        <v>15</v>
      </c>
      <c r="B1" s="142"/>
      <c r="C1" s="17" t="s">
        <v>981</v>
      </c>
      <c r="D1" s="32"/>
      <c r="E1" s="32"/>
      <c r="F1" s="32"/>
    </row>
    <row r="2" spans="1:35" x14ac:dyDescent="0.2">
      <c r="A2" s="142" t="s">
        <v>393</v>
      </c>
      <c r="B2" s="142"/>
      <c r="C2" s="17" t="s">
        <v>395</v>
      </c>
      <c r="D2" s="32"/>
      <c r="E2" s="32"/>
      <c r="F2" s="32"/>
    </row>
    <row r="3" spans="1:35" x14ac:dyDescent="0.2">
      <c r="A3" s="142" t="s">
        <v>16</v>
      </c>
      <c r="B3" s="142"/>
      <c r="C3" s="61">
        <f>COUNT(A9:A1001)</f>
        <v>176</v>
      </c>
      <c r="D3" s="32"/>
      <c r="E3" s="32"/>
      <c r="F3" s="32"/>
    </row>
    <row r="4" spans="1:35" x14ac:dyDescent="0.2">
      <c r="A4" s="142" t="s">
        <v>394</v>
      </c>
      <c r="B4" s="142"/>
      <c r="C4" s="17" t="s">
        <v>984</v>
      </c>
      <c r="D4" s="32"/>
      <c r="E4" s="32"/>
      <c r="F4" s="32"/>
    </row>
    <row r="6" spans="1:35" x14ac:dyDescent="0.2">
      <c r="A6" s="146" t="s">
        <v>5</v>
      </c>
      <c r="B6" s="146" t="s">
        <v>6</v>
      </c>
      <c r="C6" s="152" t="s">
        <v>0</v>
      </c>
      <c r="D6" s="145" t="s">
        <v>31</v>
      </c>
      <c r="E6" s="143" t="s">
        <v>580</v>
      </c>
      <c r="F6" s="143" t="s">
        <v>589</v>
      </c>
      <c r="G6" s="146" t="s">
        <v>32</v>
      </c>
      <c r="H6" s="146" t="s">
        <v>3</v>
      </c>
      <c r="I6" s="146"/>
      <c r="J6" s="146"/>
      <c r="K6" s="146"/>
      <c r="L6" s="146"/>
      <c r="M6" s="146"/>
      <c r="N6" s="146"/>
      <c r="O6" s="146"/>
      <c r="P6" s="146"/>
      <c r="Q6" s="146"/>
      <c r="R6" s="147" t="s">
        <v>4</v>
      </c>
      <c r="S6" s="148"/>
      <c r="T6" s="148"/>
      <c r="U6" s="148"/>
      <c r="V6" s="148"/>
      <c r="W6" s="148"/>
      <c r="X6" s="148"/>
      <c r="Y6" s="148"/>
      <c r="Z6" s="149"/>
      <c r="AA6" s="150" t="s">
        <v>26</v>
      </c>
      <c r="AB6" s="153" t="s">
        <v>27</v>
      </c>
      <c r="AC6" s="150" t="s">
        <v>28</v>
      </c>
      <c r="AD6" s="143" t="s">
        <v>17</v>
      </c>
      <c r="AE6" s="145" t="s">
        <v>401</v>
      </c>
    </row>
    <row r="7" spans="1:35" s="19" customFormat="1" ht="34.5" customHeight="1" x14ac:dyDescent="0.2">
      <c r="A7" s="146"/>
      <c r="B7" s="146"/>
      <c r="C7" s="152"/>
      <c r="D7" s="145"/>
      <c r="E7" s="144"/>
      <c r="F7" s="144"/>
      <c r="G7" s="146"/>
      <c r="H7" s="105" t="s">
        <v>583</v>
      </c>
      <c r="I7" s="110" t="s">
        <v>581</v>
      </c>
      <c r="J7" s="105" t="s">
        <v>582</v>
      </c>
      <c r="K7" s="110" t="s">
        <v>7</v>
      </c>
      <c r="L7" s="105" t="s">
        <v>18</v>
      </c>
      <c r="M7" s="110" t="s">
        <v>8</v>
      </c>
      <c r="N7" s="105" t="s">
        <v>19</v>
      </c>
      <c r="O7" s="110" t="s">
        <v>20</v>
      </c>
      <c r="P7" s="105" t="s">
        <v>21</v>
      </c>
      <c r="Q7" s="110" t="s">
        <v>9</v>
      </c>
      <c r="R7" s="105" t="s">
        <v>22</v>
      </c>
      <c r="S7" s="110" t="s">
        <v>23</v>
      </c>
      <c r="T7" s="105" t="s">
        <v>24</v>
      </c>
      <c r="U7" s="110" t="s">
        <v>25</v>
      </c>
      <c r="V7" s="105" t="s">
        <v>590</v>
      </c>
      <c r="W7" s="110" t="s">
        <v>591</v>
      </c>
      <c r="X7" s="105" t="s">
        <v>20</v>
      </c>
      <c r="Y7" s="110" t="s">
        <v>19</v>
      </c>
      <c r="Z7" s="105" t="s">
        <v>10</v>
      </c>
      <c r="AA7" s="151"/>
      <c r="AB7" s="154"/>
      <c r="AC7" s="151"/>
      <c r="AD7" s="144"/>
      <c r="AE7" s="145"/>
      <c r="AG7" s="121"/>
    </row>
    <row r="8" spans="1:35" s="20" customFormat="1" x14ac:dyDescent="0.2">
      <c r="A8" s="56">
        <v>1</v>
      </c>
      <c r="B8" s="56">
        <v>2</v>
      </c>
      <c r="C8" s="56">
        <v>3</v>
      </c>
      <c r="D8" s="56">
        <v>4</v>
      </c>
      <c r="E8" s="56">
        <v>5</v>
      </c>
      <c r="F8" s="56">
        <v>6</v>
      </c>
      <c r="G8" s="56">
        <v>7</v>
      </c>
      <c r="H8" s="106">
        <v>8</v>
      </c>
      <c r="I8" s="111">
        <v>9</v>
      </c>
      <c r="J8" s="106">
        <v>10</v>
      </c>
      <c r="K8" s="111">
        <v>11</v>
      </c>
      <c r="L8" s="106">
        <v>12</v>
      </c>
      <c r="M8" s="111">
        <v>13</v>
      </c>
      <c r="N8" s="106">
        <v>14</v>
      </c>
      <c r="O8" s="111">
        <v>15</v>
      </c>
      <c r="P8" s="106">
        <v>16</v>
      </c>
      <c r="Q8" s="111">
        <v>17</v>
      </c>
      <c r="R8" s="106">
        <v>18</v>
      </c>
      <c r="S8" s="111">
        <v>19</v>
      </c>
      <c r="T8" s="106">
        <v>20</v>
      </c>
      <c r="U8" s="111">
        <v>21</v>
      </c>
      <c r="V8" s="106">
        <v>22</v>
      </c>
      <c r="W8" s="111">
        <v>23</v>
      </c>
      <c r="X8" s="106">
        <v>24</v>
      </c>
      <c r="Y8" s="111">
        <v>25</v>
      </c>
      <c r="Z8" s="106">
        <v>26</v>
      </c>
      <c r="AA8" s="111">
        <v>27</v>
      </c>
      <c r="AB8" s="106">
        <v>28</v>
      </c>
      <c r="AC8" s="111">
        <v>29</v>
      </c>
      <c r="AD8" s="56">
        <v>30</v>
      </c>
      <c r="AE8" s="56">
        <v>31</v>
      </c>
      <c r="AG8" s="140"/>
      <c r="AH8" s="68" t="s">
        <v>489</v>
      </c>
      <c r="AI8" s="16" t="s">
        <v>325</v>
      </c>
    </row>
    <row r="9" spans="1:35" x14ac:dyDescent="0.2">
      <c r="A9" s="14">
        <v>1</v>
      </c>
      <c r="B9" s="28" t="s">
        <v>29</v>
      </c>
      <c r="C9" s="14" t="s">
        <v>664</v>
      </c>
      <c r="D9" s="14">
        <v>22</v>
      </c>
      <c r="E9" s="14">
        <v>0</v>
      </c>
      <c r="F9" s="14">
        <v>0</v>
      </c>
      <c r="G9" s="58" t="s">
        <v>614</v>
      </c>
      <c r="H9" s="107"/>
      <c r="I9" s="112"/>
      <c r="J9" s="107">
        <v>1673624.69</v>
      </c>
      <c r="K9" s="112">
        <v>0</v>
      </c>
      <c r="L9" s="107">
        <v>0</v>
      </c>
      <c r="M9" s="112">
        <v>0</v>
      </c>
      <c r="N9" s="107">
        <v>0</v>
      </c>
      <c r="O9" s="112">
        <v>0</v>
      </c>
      <c r="P9" s="107">
        <v>0</v>
      </c>
      <c r="Q9" s="112">
        <v>1673624.69</v>
      </c>
      <c r="R9" s="107">
        <v>24</v>
      </c>
      <c r="S9" s="112">
        <v>2254.6424772727269</v>
      </c>
      <c r="T9" s="107">
        <v>0</v>
      </c>
      <c r="U9" s="112">
        <v>0</v>
      </c>
      <c r="V9" s="107">
        <v>0</v>
      </c>
      <c r="W9" s="112">
        <v>0</v>
      </c>
      <c r="X9" s="107">
        <v>0</v>
      </c>
      <c r="Y9" s="112">
        <v>0</v>
      </c>
      <c r="Z9" s="107">
        <v>2254.6424772727269</v>
      </c>
      <c r="AA9" s="112">
        <v>1671370.0475227272</v>
      </c>
      <c r="AB9" s="107">
        <v>29.952477272832766</v>
      </c>
      <c r="AC9" s="112">
        <v>1671400</v>
      </c>
      <c r="AD9" s="28" t="s">
        <v>30</v>
      </c>
      <c r="AE9" s="68" t="s">
        <v>470</v>
      </c>
      <c r="AF9" s="16" t="s">
        <v>29</v>
      </c>
      <c r="AG9" s="4" t="b">
        <f>B9=AF9</f>
        <v>1</v>
      </c>
      <c r="AH9" s="68" t="s">
        <v>810</v>
      </c>
      <c r="AI9" s="79" t="s">
        <v>603</v>
      </c>
    </row>
    <row r="10" spans="1:35" x14ac:dyDescent="0.2">
      <c r="A10" s="14">
        <v>2</v>
      </c>
      <c r="B10" s="28" t="s">
        <v>38</v>
      </c>
      <c r="C10" s="14" t="s">
        <v>665</v>
      </c>
      <c r="D10" s="14">
        <v>22</v>
      </c>
      <c r="E10" s="14">
        <v>0</v>
      </c>
      <c r="F10" s="14">
        <v>0</v>
      </c>
      <c r="G10" s="58" t="s">
        <v>615</v>
      </c>
      <c r="H10" s="107"/>
      <c r="I10" s="112"/>
      <c r="J10" s="107">
        <v>2188586.14</v>
      </c>
      <c r="K10" s="112">
        <v>0</v>
      </c>
      <c r="L10" s="107">
        <v>0</v>
      </c>
      <c r="M10" s="112">
        <v>198962.3763636364</v>
      </c>
      <c r="N10" s="107">
        <v>0</v>
      </c>
      <c r="O10" s="112">
        <v>0</v>
      </c>
      <c r="P10" s="107">
        <v>0</v>
      </c>
      <c r="Q10" s="112">
        <v>2387548.5163636366</v>
      </c>
      <c r="R10" s="107">
        <v>0</v>
      </c>
      <c r="S10" s="112">
        <v>0</v>
      </c>
      <c r="T10" s="107">
        <v>0</v>
      </c>
      <c r="U10" s="112">
        <v>0</v>
      </c>
      <c r="V10" s="107">
        <v>0</v>
      </c>
      <c r="W10" s="112">
        <v>0</v>
      </c>
      <c r="X10" s="107">
        <v>0</v>
      </c>
      <c r="Y10" s="112">
        <v>0</v>
      </c>
      <c r="Z10" s="107">
        <v>0</v>
      </c>
      <c r="AA10" s="112">
        <v>2387548.5163636366</v>
      </c>
      <c r="AB10" s="107">
        <v>51.48363636340946</v>
      </c>
      <c r="AC10" s="112">
        <v>2387600</v>
      </c>
      <c r="AD10" s="28" t="s">
        <v>39</v>
      </c>
      <c r="AE10" s="68" t="s">
        <v>495</v>
      </c>
      <c r="AF10" s="16" t="s">
        <v>38</v>
      </c>
      <c r="AG10" s="4" t="b">
        <f t="shared" ref="AG10:AG73" si="0">B10=AF10</f>
        <v>1</v>
      </c>
      <c r="AH10" s="68" t="s">
        <v>811</v>
      </c>
      <c r="AI10" s="79" t="s">
        <v>604</v>
      </c>
    </row>
    <row r="11" spans="1:35" x14ac:dyDescent="0.2">
      <c r="A11" s="14">
        <v>3</v>
      </c>
      <c r="B11" s="28" t="s">
        <v>845</v>
      </c>
      <c r="C11" s="14" t="s">
        <v>666</v>
      </c>
      <c r="D11" s="14">
        <v>22</v>
      </c>
      <c r="E11" s="14">
        <v>0</v>
      </c>
      <c r="F11" s="14">
        <v>0</v>
      </c>
      <c r="G11" s="58" t="s">
        <v>616</v>
      </c>
      <c r="H11" s="107"/>
      <c r="I11" s="112"/>
      <c r="J11" s="107">
        <v>1493388</v>
      </c>
      <c r="K11" s="112">
        <v>0</v>
      </c>
      <c r="L11" s="107">
        <v>0</v>
      </c>
      <c r="M11" s="112">
        <v>0</v>
      </c>
      <c r="N11" s="107">
        <v>0</v>
      </c>
      <c r="O11" s="112">
        <v>0</v>
      </c>
      <c r="P11" s="107">
        <v>0</v>
      </c>
      <c r="Q11" s="112">
        <v>1493388</v>
      </c>
      <c r="R11" s="107">
        <v>0</v>
      </c>
      <c r="S11" s="112">
        <v>0</v>
      </c>
      <c r="T11" s="107">
        <v>0</v>
      </c>
      <c r="U11" s="112">
        <v>0</v>
      </c>
      <c r="V11" s="107">
        <v>0</v>
      </c>
      <c r="W11" s="112">
        <v>0</v>
      </c>
      <c r="X11" s="107">
        <v>0</v>
      </c>
      <c r="Y11" s="112">
        <v>0</v>
      </c>
      <c r="Z11" s="107">
        <v>0</v>
      </c>
      <c r="AA11" s="112">
        <v>1493388</v>
      </c>
      <c r="AB11" s="107">
        <v>12</v>
      </c>
      <c r="AC11" s="112">
        <v>1493400</v>
      </c>
      <c r="AD11" s="28" t="s">
        <v>41</v>
      </c>
      <c r="AE11" s="68" t="s">
        <v>453</v>
      </c>
      <c r="AF11" s="16" t="s">
        <v>845</v>
      </c>
      <c r="AG11" s="4" t="b">
        <f t="shared" si="0"/>
        <v>1</v>
      </c>
      <c r="AH11" s="56" t="s">
        <v>812</v>
      </c>
      <c r="AI11" s="79" t="s">
        <v>605</v>
      </c>
    </row>
    <row r="12" spans="1:35" x14ac:dyDescent="0.2">
      <c r="A12" s="14">
        <v>4</v>
      </c>
      <c r="B12" s="28" t="s">
        <v>44</v>
      </c>
      <c r="C12" s="14" t="s">
        <v>802</v>
      </c>
      <c r="D12" s="14">
        <v>22</v>
      </c>
      <c r="E12" s="14">
        <v>0</v>
      </c>
      <c r="F12" s="14">
        <v>0</v>
      </c>
      <c r="G12" s="58" t="s">
        <v>654</v>
      </c>
      <c r="H12" s="107"/>
      <c r="I12" s="112"/>
      <c r="J12" s="107">
        <v>1493388.19</v>
      </c>
      <c r="K12" s="112">
        <v>0</v>
      </c>
      <c r="L12" s="107">
        <v>0</v>
      </c>
      <c r="M12" s="112">
        <v>110307.08221590907</v>
      </c>
      <c r="N12" s="107">
        <v>0</v>
      </c>
      <c r="O12" s="112">
        <v>0</v>
      </c>
      <c r="P12" s="107">
        <v>0</v>
      </c>
      <c r="Q12" s="112">
        <v>1603695.2722159091</v>
      </c>
      <c r="R12" s="107">
        <v>57</v>
      </c>
      <c r="S12" s="112">
        <v>4381.9084119318177</v>
      </c>
      <c r="T12" s="107">
        <v>0</v>
      </c>
      <c r="U12" s="112">
        <v>0</v>
      </c>
      <c r="V12" s="107">
        <v>0</v>
      </c>
      <c r="W12" s="112">
        <v>0</v>
      </c>
      <c r="X12" s="107">
        <v>0</v>
      </c>
      <c r="Y12" s="112">
        <v>0</v>
      </c>
      <c r="Z12" s="107">
        <v>4381.9084119318177</v>
      </c>
      <c r="AA12" s="112">
        <v>1599313.3638039774</v>
      </c>
      <c r="AB12" s="107">
        <v>86.636196022620425</v>
      </c>
      <c r="AC12" s="112">
        <v>1599400</v>
      </c>
      <c r="AD12" s="28" t="s">
        <v>43</v>
      </c>
      <c r="AE12" s="68" t="s">
        <v>511</v>
      </c>
      <c r="AF12" s="16" t="s">
        <v>44</v>
      </c>
      <c r="AG12" s="4" t="b">
        <f t="shared" si="0"/>
        <v>1</v>
      </c>
      <c r="AH12" s="68" t="s">
        <v>427</v>
      </c>
      <c r="AI12" s="16" t="s">
        <v>42</v>
      </c>
    </row>
    <row r="13" spans="1:35" x14ac:dyDescent="0.2">
      <c r="A13" s="14">
        <v>5</v>
      </c>
      <c r="B13" s="28" t="s">
        <v>45</v>
      </c>
      <c r="C13" s="14" t="s">
        <v>667</v>
      </c>
      <c r="D13" s="14">
        <v>22</v>
      </c>
      <c r="E13" s="14">
        <v>0</v>
      </c>
      <c r="F13" s="14">
        <v>0</v>
      </c>
      <c r="G13" s="58" t="s">
        <v>617</v>
      </c>
      <c r="H13" s="107"/>
      <c r="I13" s="112"/>
      <c r="J13" s="107">
        <v>2059845.78</v>
      </c>
      <c r="K13" s="112">
        <v>0</v>
      </c>
      <c r="L13" s="107">
        <v>0</v>
      </c>
      <c r="M13" s="112">
        <v>52315.401344318161</v>
      </c>
      <c r="N13" s="107">
        <v>0</v>
      </c>
      <c r="O13" s="112">
        <v>0</v>
      </c>
      <c r="P13" s="107">
        <v>0</v>
      </c>
      <c r="Q13" s="112">
        <v>2112161.1813443182</v>
      </c>
      <c r="R13" s="107">
        <v>105</v>
      </c>
      <c r="S13" s="112">
        <v>13704.327357954546</v>
      </c>
      <c r="T13" s="107">
        <v>0</v>
      </c>
      <c r="U13" s="112">
        <v>0</v>
      </c>
      <c r="V13" s="107">
        <v>0</v>
      </c>
      <c r="W13" s="112">
        <v>0</v>
      </c>
      <c r="X13" s="107">
        <v>0</v>
      </c>
      <c r="Y13" s="112">
        <v>0</v>
      </c>
      <c r="Z13" s="107">
        <v>13704.327357954546</v>
      </c>
      <c r="AA13" s="112">
        <v>2098456.8539863639</v>
      </c>
      <c r="AB13" s="107">
        <v>43.146013636142015</v>
      </c>
      <c r="AC13" s="112">
        <v>2098500</v>
      </c>
      <c r="AD13" s="28" t="s">
        <v>46</v>
      </c>
      <c r="AE13" s="68" t="s">
        <v>440</v>
      </c>
      <c r="AF13" s="16" t="s">
        <v>45</v>
      </c>
      <c r="AG13" s="4" t="b">
        <f t="shared" si="0"/>
        <v>1</v>
      </c>
      <c r="AH13" s="68" t="s">
        <v>422</v>
      </c>
      <c r="AI13" s="16" t="s">
        <v>315</v>
      </c>
    </row>
    <row r="14" spans="1:35" x14ac:dyDescent="0.2">
      <c r="A14" s="14">
        <v>6</v>
      </c>
      <c r="B14" s="28" t="s">
        <v>47</v>
      </c>
      <c r="C14" s="14" t="s">
        <v>668</v>
      </c>
      <c r="D14" s="14">
        <v>22</v>
      </c>
      <c r="E14" s="14">
        <v>0</v>
      </c>
      <c r="F14" s="14">
        <v>0</v>
      </c>
      <c r="G14" s="58" t="s">
        <v>618</v>
      </c>
      <c r="H14" s="107"/>
      <c r="I14" s="112"/>
      <c r="J14" s="107">
        <v>1802365.05</v>
      </c>
      <c r="K14" s="112">
        <v>0</v>
      </c>
      <c r="L14" s="107">
        <v>0</v>
      </c>
      <c r="M14" s="112">
        <v>234717.08492045457</v>
      </c>
      <c r="N14" s="107">
        <v>0</v>
      </c>
      <c r="O14" s="112">
        <v>0</v>
      </c>
      <c r="P14" s="107">
        <v>0</v>
      </c>
      <c r="Q14" s="112">
        <v>2037082.1349204546</v>
      </c>
      <c r="R14" s="107">
        <v>128</v>
      </c>
      <c r="S14" s="112">
        <v>13585.249090909092</v>
      </c>
      <c r="T14" s="107">
        <v>0</v>
      </c>
      <c r="U14" s="112">
        <v>0</v>
      </c>
      <c r="V14" s="107">
        <v>0</v>
      </c>
      <c r="W14" s="112">
        <v>0</v>
      </c>
      <c r="X14" s="107">
        <v>0</v>
      </c>
      <c r="Y14" s="112">
        <v>0</v>
      </c>
      <c r="Z14" s="107">
        <v>13585.249090909092</v>
      </c>
      <c r="AA14" s="112">
        <v>2023496.8858295456</v>
      </c>
      <c r="AB14" s="107">
        <v>3.1141704544425011</v>
      </c>
      <c r="AC14" s="112">
        <v>2023500</v>
      </c>
      <c r="AD14" s="28" t="s">
        <v>48</v>
      </c>
      <c r="AE14" s="68" t="s">
        <v>510</v>
      </c>
      <c r="AF14" s="16" t="s">
        <v>47</v>
      </c>
      <c r="AG14" s="4" t="b">
        <f t="shared" si="0"/>
        <v>1</v>
      </c>
      <c r="AH14" s="68" t="s">
        <v>496</v>
      </c>
      <c r="AI14" s="16" t="s">
        <v>57</v>
      </c>
    </row>
    <row r="15" spans="1:35" x14ac:dyDescent="0.2">
      <c r="A15" s="14">
        <v>7</v>
      </c>
      <c r="B15" s="28" t="s">
        <v>49</v>
      </c>
      <c r="C15" s="14" t="s">
        <v>669</v>
      </c>
      <c r="D15" s="14">
        <v>22</v>
      </c>
      <c r="E15" s="14">
        <v>0</v>
      </c>
      <c r="F15" s="14">
        <v>0</v>
      </c>
      <c r="G15" s="58" t="s">
        <v>616</v>
      </c>
      <c r="H15" s="107"/>
      <c r="I15" s="112"/>
      <c r="J15" s="107">
        <v>1493388</v>
      </c>
      <c r="K15" s="112">
        <v>0</v>
      </c>
      <c r="L15" s="107">
        <v>0</v>
      </c>
      <c r="M15" s="112">
        <v>0</v>
      </c>
      <c r="N15" s="107">
        <v>0</v>
      </c>
      <c r="O15" s="112">
        <v>0</v>
      </c>
      <c r="P15" s="107">
        <v>0</v>
      </c>
      <c r="Q15" s="112">
        <v>1493388</v>
      </c>
      <c r="R15" s="107">
        <v>30</v>
      </c>
      <c r="S15" s="112">
        <v>2306.2670454545455</v>
      </c>
      <c r="T15" s="107">
        <v>0</v>
      </c>
      <c r="U15" s="112">
        <v>0</v>
      </c>
      <c r="V15" s="107">
        <v>0</v>
      </c>
      <c r="W15" s="112">
        <v>0</v>
      </c>
      <c r="X15" s="107">
        <v>0</v>
      </c>
      <c r="Y15" s="112">
        <v>0</v>
      </c>
      <c r="Z15" s="107">
        <v>2306.2670454545455</v>
      </c>
      <c r="AA15" s="112">
        <v>1491081.7329545454</v>
      </c>
      <c r="AB15" s="107">
        <v>18.267045454587787</v>
      </c>
      <c r="AC15" s="112">
        <v>1491100</v>
      </c>
      <c r="AD15" s="28" t="s">
        <v>50</v>
      </c>
      <c r="AE15" s="68" t="s">
        <v>454</v>
      </c>
      <c r="AF15" s="16" t="s">
        <v>49</v>
      </c>
      <c r="AG15" s="4" t="b">
        <f t="shared" si="0"/>
        <v>1</v>
      </c>
      <c r="AH15" s="68" t="s">
        <v>486</v>
      </c>
      <c r="AI15" s="16" t="s">
        <v>316</v>
      </c>
    </row>
    <row r="16" spans="1:35" x14ac:dyDescent="0.2">
      <c r="A16" s="14">
        <v>8</v>
      </c>
      <c r="B16" s="28" t="s">
        <v>51</v>
      </c>
      <c r="C16" s="14" t="s">
        <v>670</v>
      </c>
      <c r="D16" s="14">
        <v>22</v>
      </c>
      <c r="E16" s="14">
        <v>0</v>
      </c>
      <c r="F16" s="14">
        <v>0</v>
      </c>
      <c r="G16" s="58" t="s">
        <v>619</v>
      </c>
      <c r="H16" s="107"/>
      <c r="I16" s="112"/>
      <c r="J16" s="107">
        <v>1673624.69</v>
      </c>
      <c r="K16" s="112">
        <v>0</v>
      </c>
      <c r="L16" s="107">
        <v>0</v>
      </c>
      <c r="M16" s="112">
        <v>0</v>
      </c>
      <c r="N16" s="107">
        <v>0</v>
      </c>
      <c r="O16" s="112">
        <v>0</v>
      </c>
      <c r="P16" s="107">
        <v>0</v>
      </c>
      <c r="Q16" s="112">
        <v>1673624.69</v>
      </c>
      <c r="R16" s="107">
        <v>295</v>
      </c>
      <c r="S16" s="112">
        <v>27713.313783143938</v>
      </c>
      <c r="T16" s="107">
        <v>0</v>
      </c>
      <c r="U16" s="112">
        <v>0</v>
      </c>
      <c r="V16" s="107">
        <v>0</v>
      </c>
      <c r="W16" s="112">
        <v>0</v>
      </c>
      <c r="X16" s="107">
        <v>0</v>
      </c>
      <c r="Y16" s="112">
        <v>0</v>
      </c>
      <c r="Z16" s="107">
        <v>27713.313783143938</v>
      </c>
      <c r="AA16" s="112">
        <v>1645911.3762168561</v>
      </c>
      <c r="AB16" s="107">
        <v>88.623783143935725</v>
      </c>
      <c r="AC16" s="112">
        <v>1646000</v>
      </c>
      <c r="AD16" s="28" t="s">
        <v>52</v>
      </c>
      <c r="AE16" s="68" t="s">
        <v>514</v>
      </c>
      <c r="AF16" s="16" t="s">
        <v>51</v>
      </c>
      <c r="AG16" s="4" t="b">
        <f t="shared" si="0"/>
        <v>1</v>
      </c>
      <c r="AH16" s="68" t="s">
        <v>428</v>
      </c>
      <c r="AI16" s="16" t="s">
        <v>317</v>
      </c>
    </row>
    <row r="17" spans="1:35" x14ac:dyDescent="0.2">
      <c r="A17" s="14">
        <v>9</v>
      </c>
      <c r="B17" s="28" t="s">
        <v>53</v>
      </c>
      <c r="C17" s="14" t="s">
        <v>671</v>
      </c>
      <c r="D17" s="14">
        <v>22</v>
      </c>
      <c r="E17" s="14">
        <v>0</v>
      </c>
      <c r="F17" s="14">
        <v>0</v>
      </c>
      <c r="G17" s="28" t="s">
        <v>617</v>
      </c>
      <c r="H17" s="107"/>
      <c r="I17" s="112"/>
      <c r="J17" s="107">
        <v>1673624.69</v>
      </c>
      <c r="K17" s="112">
        <v>0</v>
      </c>
      <c r="L17" s="107">
        <v>0</v>
      </c>
      <c r="M17" s="112">
        <v>53822.24855340911</v>
      </c>
      <c r="N17" s="107">
        <v>0</v>
      </c>
      <c r="O17" s="112">
        <v>0</v>
      </c>
      <c r="P17" s="107">
        <v>0</v>
      </c>
      <c r="Q17" s="112">
        <v>1727446.938553409</v>
      </c>
      <c r="R17" s="107">
        <v>162</v>
      </c>
      <c r="S17" s="112">
        <v>15218.836721590907</v>
      </c>
      <c r="T17" s="107">
        <v>0</v>
      </c>
      <c r="U17" s="112">
        <v>0</v>
      </c>
      <c r="V17" s="107">
        <v>0</v>
      </c>
      <c r="W17" s="112">
        <v>0</v>
      </c>
      <c r="X17" s="107">
        <v>0</v>
      </c>
      <c r="Y17" s="112">
        <v>0</v>
      </c>
      <c r="Z17" s="107">
        <v>15218.836721590907</v>
      </c>
      <c r="AA17" s="112">
        <v>1712228.101831818</v>
      </c>
      <c r="AB17" s="107">
        <v>71.898168182000518</v>
      </c>
      <c r="AC17" s="112">
        <v>1712300</v>
      </c>
      <c r="AD17" s="28" t="s">
        <v>54</v>
      </c>
      <c r="AE17" s="68" t="s">
        <v>441</v>
      </c>
      <c r="AF17" s="16" t="s">
        <v>53</v>
      </c>
      <c r="AG17" s="4" t="b">
        <f t="shared" si="0"/>
        <v>1</v>
      </c>
      <c r="AH17" s="68" t="s">
        <v>418</v>
      </c>
      <c r="AI17" s="16" t="s">
        <v>379</v>
      </c>
    </row>
    <row r="18" spans="1:35" x14ac:dyDescent="0.2">
      <c r="A18" s="14">
        <v>10</v>
      </c>
      <c r="B18" s="28" t="s">
        <v>55</v>
      </c>
      <c r="C18" s="14" t="s">
        <v>672</v>
      </c>
      <c r="D18" s="14">
        <v>22</v>
      </c>
      <c r="E18" s="14">
        <v>0</v>
      </c>
      <c r="F18" s="14">
        <v>0</v>
      </c>
      <c r="G18" s="58" t="s">
        <v>617</v>
      </c>
      <c r="H18" s="107"/>
      <c r="I18" s="112"/>
      <c r="J18" s="107">
        <v>1673624.69</v>
      </c>
      <c r="K18" s="112">
        <v>0</v>
      </c>
      <c r="L18" s="107">
        <v>0</v>
      </c>
      <c r="M18" s="112">
        <v>0</v>
      </c>
      <c r="N18" s="107">
        <v>0</v>
      </c>
      <c r="O18" s="112">
        <v>0</v>
      </c>
      <c r="P18" s="107">
        <v>0</v>
      </c>
      <c r="Q18" s="112">
        <v>1673624.69</v>
      </c>
      <c r="R18" s="107">
        <v>160</v>
      </c>
      <c r="S18" s="112">
        <v>15030.949848484848</v>
      </c>
      <c r="T18" s="107">
        <v>0</v>
      </c>
      <c r="U18" s="112">
        <v>0</v>
      </c>
      <c r="V18" s="107">
        <v>0</v>
      </c>
      <c r="W18" s="112">
        <v>0</v>
      </c>
      <c r="X18" s="107">
        <v>0</v>
      </c>
      <c r="Y18" s="112">
        <v>0</v>
      </c>
      <c r="Z18" s="107">
        <v>15030.949848484848</v>
      </c>
      <c r="AA18" s="112">
        <v>1658593.740151515</v>
      </c>
      <c r="AB18" s="107">
        <v>6.2598484850022942</v>
      </c>
      <c r="AC18" s="112">
        <v>1658600</v>
      </c>
      <c r="AD18" s="28" t="s">
        <v>56</v>
      </c>
      <c r="AE18" s="68" t="s">
        <v>442</v>
      </c>
      <c r="AF18" s="16" t="s">
        <v>55</v>
      </c>
      <c r="AG18" s="4" t="b">
        <f t="shared" si="0"/>
        <v>1</v>
      </c>
      <c r="AH18" s="68" t="s">
        <v>412</v>
      </c>
      <c r="AI18" s="16" t="s">
        <v>63</v>
      </c>
    </row>
    <row r="19" spans="1:35" x14ac:dyDescent="0.2">
      <c r="A19" s="14">
        <v>11</v>
      </c>
      <c r="B19" s="28" t="s">
        <v>59</v>
      </c>
      <c r="C19" s="14" t="s">
        <v>673</v>
      </c>
      <c r="D19" s="14">
        <v>22</v>
      </c>
      <c r="E19" s="14">
        <v>0</v>
      </c>
      <c r="F19" s="14">
        <v>0</v>
      </c>
      <c r="G19" s="58" t="s">
        <v>621</v>
      </c>
      <c r="H19" s="107"/>
      <c r="I19" s="112"/>
      <c r="J19" s="107">
        <v>2059845.78</v>
      </c>
      <c r="K19" s="112">
        <v>0</v>
      </c>
      <c r="L19" s="107">
        <v>0</v>
      </c>
      <c r="M19" s="112">
        <v>117036.69204545455</v>
      </c>
      <c r="N19" s="107">
        <v>0</v>
      </c>
      <c r="O19" s="112">
        <v>0</v>
      </c>
      <c r="P19" s="107">
        <v>0</v>
      </c>
      <c r="Q19" s="112">
        <v>2176882.4720454547</v>
      </c>
      <c r="R19" s="107">
        <v>0</v>
      </c>
      <c r="S19" s="112">
        <v>0</v>
      </c>
      <c r="T19" s="107">
        <v>0</v>
      </c>
      <c r="U19" s="112">
        <v>0</v>
      </c>
      <c r="V19" s="107">
        <v>0</v>
      </c>
      <c r="W19" s="112">
        <v>0</v>
      </c>
      <c r="X19" s="107">
        <v>0</v>
      </c>
      <c r="Y19" s="112">
        <v>0</v>
      </c>
      <c r="Z19" s="107">
        <v>0</v>
      </c>
      <c r="AA19" s="112">
        <v>2176882.4720454547</v>
      </c>
      <c r="AB19" s="107">
        <v>17.527954545337707</v>
      </c>
      <c r="AC19" s="112">
        <v>2176900</v>
      </c>
      <c r="AD19" s="28" t="s">
        <v>58</v>
      </c>
      <c r="AE19" s="68" t="s">
        <v>529</v>
      </c>
      <c r="AF19" s="16" t="s">
        <v>59</v>
      </c>
      <c r="AG19" s="4" t="b">
        <f t="shared" si="0"/>
        <v>1</v>
      </c>
      <c r="AH19" s="68" t="s">
        <v>429</v>
      </c>
      <c r="AI19" s="16" t="s">
        <v>334</v>
      </c>
    </row>
    <row r="20" spans="1:35" x14ac:dyDescent="0.2">
      <c r="A20" s="14">
        <v>12</v>
      </c>
      <c r="B20" s="28" t="s">
        <v>61</v>
      </c>
      <c r="C20" s="14" t="s">
        <v>674</v>
      </c>
      <c r="D20" s="14">
        <v>22</v>
      </c>
      <c r="E20" s="14">
        <v>0</v>
      </c>
      <c r="F20" s="14">
        <v>0</v>
      </c>
      <c r="G20" s="58" t="s">
        <v>621</v>
      </c>
      <c r="H20" s="107"/>
      <c r="I20" s="112"/>
      <c r="J20" s="107">
        <v>2059845.78</v>
      </c>
      <c r="K20" s="112">
        <v>0</v>
      </c>
      <c r="L20" s="107">
        <v>0</v>
      </c>
      <c r="M20" s="112">
        <v>0</v>
      </c>
      <c r="N20" s="107">
        <v>0</v>
      </c>
      <c r="O20" s="112">
        <v>0</v>
      </c>
      <c r="P20" s="107">
        <v>0</v>
      </c>
      <c r="Q20" s="112">
        <v>2059845.78</v>
      </c>
      <c r="R20" s="107">
        <v>85</v>
      </c>
      <c r="S20" s="112">
        <v>11093.979289772727</v>
      </c>
      <c r="T20" s="107">
        <v>0</v>
      </c>
      <c r="U20" s="112">
        <v>0</v>
      </c>
      <c r="V20" s="107">
        <v>0</v>
      </c>
      <c r="W20" s="112">
        <v>0</v>
      </c>
      <c r="X20" s="107">
        <v>0</v>
      </c>
      <c r="Y20" s="112">
        <v>0</v>
      </c>
      <c r="Z20" s="107">
        <v>11093.979289772727</v>
      </c>
      <c r="AA20" s="112">
        <v>2048751.8007102273</v>
      </c>
      <c r="AB20" s="107">
        <v>48.19928977265954</v>
      </c>
      <c r="AC20" s="112">
        <v>2048800</v>
      </c>
      <c r="AD20" s="28" t="s">
        <v>60</v>
      </c>
      <c r="AE20" s="68" t="s">
        <v>530</v>
      </c>
      <c r="AF20" s="16" t="s">
        <v>61</v>
      </c>
      <c r="AG20" s="4" t="b">
        <f t="shared" si="0"/>
        <v>1</v>
      </c>
      <c r="AH20" s="68" t="s">
        <v>519</v>
      </c>
      <c r="AI20" s="16" t="s">
        <v>373</v>
      </c>
    </row>
    <row r="21" spans="1:35" x14ac:dyDescent="0.2">
      <c r="A21" s="14">
        <v>13</v>
      </c>
      <c r="B21" s="28" t="s">
        <v>318</v>
      </c>
      <c r="C21" s="14" t="s">
        <v>675</v>
      </c>
      <c r="D21" s="14">
        <v>22</v>
      </c>
      <c r="E21" s="14">
        <v>0</v>
      </c>
      <c r="F21" s="14">
        <v>0</v>
      </c>
      <c r="G21" s="28" t="s">
        <v>615</v>
      </c>
      <c r="H21" s="107"/>
      <c r="I21" s="112"/>
      <c r="J21" s="107">
        <v>2188586.14</v>
      </c>
      <c r="K21" s="112">
        <v>0</v>
      </c>
      <c r="L21" s="107">
        <v>0</v>
      </c>
      <c r="M21" s="112">
        <v>99481.188181818186</v>
      </c>
      <c r="N21" s="107">
        <v>0</v>
      </c>
      <c r="O21" s="112">
        <v>0</v>
      </c>
      <c r="P21" s="107">
        <v>0</v>
      </c>
      <c r="Q21" s="112">
        <v>2288067.3281818181</v>
      </c>
      <c r="R21" s="107">
        <v>12</v>
      </c>
      <c r="S21" s="112">
        <v>1712.5047045454546</v>
      </c>
      <c r="T21" s="107">
        <v>0</v>
      </c>
      <c r="U21" s="112">
        <v>0</v>
      </c>
      <c r="V21" s="107">
        <v>0</v>
      </c>
      <c r="W21" s="112">
        <v>0</v>
      </c>
      <c r="X21" s="107">
        <v>0</v>
      </c>
      <c r="Y21" s="112">
        <v>0</v>
      </c>
      <c r="Z21" s="107">
        <v>1712.5047045454546</v>
      </c>
      <c r="AA21" s="112">
        <v>2286354.8234772729</v>
      </c>
      <c r="AB21" s="107">
        <v>45.176522727124393</v>
      </c>
      <c r="AC21" s="112">
        <v>2286400</v>
      </c>
      <c r="AD21" s="28" t="s">
        <v>62</v>
      </c>
      <c r="AE21" s="68" t="s">
        <v>497</v>
      </c>
      <c r="AF21" s="16" t="s">
        <v>318</v>
      </c>
      <c r="AG21" s="4" t="b">
        <f t="shared" si="0"/>
        <v>1</v>
      </c>
      <c r="AH21" s="68" t="s">
        <v>419</v>
      </c>
      <c r="AI21" s="16" t="s">
        <v>380</v>
      </c>
    </row>
    <row r="22" spans="1:35" x14ac:dyDescent="0.2">
      <c r="A22" s="14">
        <v>14</v>
      </c>
      <c r="B22" s="28" t="s">
        <v>319</v>
      </c>
      <c r="C22" s="14">
        <v>24198</v>
      </c>
      <c r="D22" s="14">
        <v>22</v>
      </c>
      <c r="E22" s="14">
        <v>0</v>
      </c>
      <c r="F22" s="14">
        <v>0</v>
      </c>
      <c r="G22" s="28" t="s">
        <v>622</v>
      </c>
      <c r="H22" s="107"/>
      <c r="I22" s="112"/>
      <c r="J22" s="107">
        <v>1802365.05</v>
      </c>
      <c r="K22" s="112" t="s">
        <v>655</v>
      </c>
      <c r="L22" s="107">
        <v>0</v>
      </c>
      <c r="M22" s="112">
        <v>69534.42437215909</v>
      </c>
      <c r="N22" s="107">
        <v>0</v>
      </c>
      <c r="O22" s="112">
        <v>0</v>
      </c>
      <c r="P22" s="107">
        <v>0</v>
      </c>
      <c r="Q22" s="112">
        <v>1871899.4743721592</v>
      </c>
      <c r="R22" s="107">
        <v>386</v>
      </c>
      <c r="S22" s="112">
        <v>40968.01678977273</v>
      </c>
      <c r="T22" s="107">
        <v>0</v>
      </c>
      <c r="U22" s="112">
        <v>0</v>
      </c>
      <c r="V22" s="107">
        <v>0</v>
      </c>
      <c r="W22" s="112">
        <v>0</v>
      </c>
      <c r="X22" s="107">
        <v>0</v>
      </c>
      <c r="Y22" s="112">
        <v>0</v>
      </c>
      <c r="Z22" s="107">
        <v>40968.01678977273</v>
      </c>
      <c r="AA22" s="112">
        <v>1830931.4575823864</v>
      </c>
      <c r="AB22" s="107">
        <v>68.542417613556609</v>
      </c>
      <c r="AC22" s="112">
        <v>1831000</v>
      </c>
      <c r="AD22" s="28" t="s">
        <v>341</v>
      </c>
      <c r="AE22" s="68" t="s">
        <v>410</v>
      </c>
      <c r="AF22" s="16" t="s">
        <v>319</v>
      </c>
      <c r="AG22" s="4" t="b">
        <f t="shared" si="0"/>
        <v>1</v>
      </c>
      <c r="AH22" s="68" t="s">
        <v>411</v>
      </c>
      <c r="AI22" s="16" t="s">
        <v>333</v>
      </c>
    </row>
    <row r="23" spans="1:35" x14ac:dyDescent="0.2">
      <c r="A23" s="14">
        <v>15</v>
      </c>
      <c r="B23" s="28" t="s">
        <v>320</v>
      </c>
      <c r="C23" s="14" t="s">
        <v>677</v>
      </c>
      <c r="D23" s="14">
        <v>22</v>
      </c>
      <c r="E23" s="14">
        <v>0</v>
      </c>
      <c r="F23" s="14">
        <v>0</v>
      </c>
      <c r="G23" s="28" t="s">
        <v>623</v>
      </c>
      <c r="H23" s="107"/>
      <c r="I23" s="112"/>
      <c r="J23" s="107">
        <v>1673624.69</v>
      </c>
      <c r="K23" s="112">
        <v>0</v>
      </c>
      <c r="L23" s="107">
        <v>0</v>
      </c>
      <c r="M23" s="112">
        <v>0</v>
      </c>
      <c r="N23" s="107">
        <v>0</v>
      </c>
      <c r="O23" s="112">
        <v>0</v>
      </c>
      <c r="P23" s="107">
        <v>0</v>
      </c>
      <c r="Q23" s="112">
        <v>1673624.69</v>
      </c>
      <c r="R23" s="107">
        <v>0</v>
      </c>
      <c r="S23" s="112">
        <v>0</v>
      </c>
      <c r="T23" s="107">
        <v>0</v>
      </c>
      <c r="U23" s="112">
        <v>0</v>
      </c>
      <c r="V23" s="107">
        <v>0</v>
      </c>
      <c r="W23" s="112">
        <v>0</v>
      </c>
      <c r="X23" s="107">
        <v>0</v>
      </c>
      <c r="Y23" s="112">
        <v>0</v>
      </c>
      <c r="Z23" s="107">
        <v>0</v>
      </c>
      <c r="AA23" s="112">
        <v>1673624.69</v>
      </c>
      <c r="AB23" s="107">
        <v>75.310000000055879</v>
      </c>
      <c r="AC23" s="112">
        <v>1673700</v>
      </c>
      <c r="AD23" s="28" t="s">
        <v>342</v>
      </c>
      <c r="AE23" s="68" t="s">
        <v>433</v>
      </c>
      <c r="AF23" s="16" t="s">
        <v>320</v>
      </c>
      <c r="AG23" s="4" t="b">
        <f t="shared" si="0"/>
        <v>1</v>
      </c>
      <c r="AH23" s="68" t="s">
        <v>459</v>
      </c>
      <c r="AI23" s="16" t="s">
        <v>340</v>
      </c>
    </row>
    <row r="24" spans="1:35" x14ac:dyDescent="0.2">
      <c r="A24" s="14">
        <v>16</v>
      </c>
      <c r="B24" s="28" t="s">
        <v>321</v>
      </c>
      <c r="C24" s="14" t="s">
        <v>678</v>
      </c>
      <c r="D24" s="14">
        <v>22</v>
      </c>
      <c r="E24" s="14">
        <v>0</v>
      </c>
      <c r="F24" s="14">
        <v>0</v>
      </c>
      <c r="G24" s="28" t="s">
        <v>616</v>
      </c>
      <c r="H24" s="107"/>
      <c r="I24" s="112"/>
      <c r="J24" s="107">
        <v>1493388</v>
      </c>
      <c r="K24" s="112">
        <v>0</v>
      </c>
      <c r="L24" s="107">
        <v>0</v>
      </c>
      <c r="M24" s="112">
        <v>0</v>
      </c>
      <c r="N24" s="107">
        <v>0</v>
      </c>
      <c r="O24" s="112">
        <v>0</v>
      </c>
      <c r="P24" s="107">
        <v>0</v>
      </c>
      <c r="Q24" s="112">
        <v>1493388</v>
      </c>
      <c r="R24" s="107">
        <v>28</v>
      </c>
      <c r="S24" s="112">
        <v>2152.5159090909092</v>
      </c>
      <c r="T24" s="107">
        <v>0</v>
      </c>
      <c r="U24" s="112">
        <v>0</v>
      </c>
      <c r="V24" s="107">
        <v>0</v>
      </c>
      <c r="W24" s="112">
        <v>0</v>
      </c>
      <c r="X24" s="107">
        <v>0</v>
      </c>
      <c r="Y24" s="112">
        <v>0</v>
      </c>
      <c r="Z24" s="107">
        <v>2152.5159090909092</v>
      </c>
      <c r="AA24" s="112">
        <v>1491235.4840909091</v>
      </c>
      <c r="AB24" s="107">
        <v>64.515909090870991</v>
      </c>
      <c r="AC24" s="112">
        <v>1491300</v>
      </c>
      <c r="AD24" s="28" t="s">
        <v>365</v>
      </c>
      <c r="AE24" s="68" t="s">
        <v>455</v>
      </c>
      <c r="AF24" s="16" t="s">
        <v>321</v>
      </c>
      <c r="AG24" s="4" t="b">
        <f t="shared" si="0"/>
        <v>1</v>
      </c>
      <c r="AH24" s="68" t="s">
        <v>423</v>
      </c>
      <c r="AI24" s="16" t="s">
        <v>335</v>
      </c>
    </row>
    <row r="25" spans="1:35" x14ac:dyDescent="0.2">
      <c r="A25" s="14">
        <v>17</v>
      </c>
      <c r="B25" s="28" t="s">
        <v>322</v>
      </c>
      <c r="C25" s="14" t="s">
        <v>679</v>
      </c>
      <c r="D25" s="14">
        <v>22</v>
      </c>
      <c r="E25" s="14">
        <v>0</v>
      </c>
      <c r="F25" s="14">
        <v>0</v>
      </c>
      <c r="G25" s="28" t="s">
        <v>624</v>
      </c>
      <c r="H25" s="107"/>
      <c r="I25" s="112"/>
      <c r="J25" s="107">
        <v>2188586.14</v>
      </c>
      <c r="K25" s="112">
        <v>0</v>
      </c>
      <c r="L25" s="107">
        <v>0</v>
      </c>
      <c r="M25" s="112">
        <v>0</v>
      </c>
      <c r="N25" s="107">
        <v>0</v>
      </c>
      <c r="O25" s="112">
        <v>0</v>
      </c>
      <c r="P25" s="107">
        <v>0</v>
      </c>
      <c r="Q25" s="112">
        <v>2188586.14</v>
      </c>
      <c r="R25" s="107">
        <v>25</v>
      </c>
      <c r="S25" s="112">
        <v>3567.7181344696974</v>
      </c>
      <c r="T25" s="107">
        <v>0</v>
      </c>
      <c r="U25" s="112">
        <v>0</v>
      </c>
      <c r="V25" s="107">
        <v>0</v>
      </c>
      <c r="W25" s="112">
        <v>0</v>
      </c>
      <c r="X25" s="107">
        <v>0</v>
      </c>
      <c r="Y25" s="112">
        <v>0</v>
      </c>
      <c r="Z25" s="107">
        <v>3567.7181344696974</v>
      </c>
      <c r="AA25" s="112">
        <v>2185018.4218655303</v>
      </c>
      <c r="AB25" s="107">
        <v>81.578134469687939</v>
      </c>
      <c r="AC25" s="112">
        <v>2185100</v>
      </c>
      <c r="AD25" s="28" t="s">
        <v>343</v>
      </c>
      <c r="AE25" s="68" t="s">
        <v>527</v>
      </c>
      <c r="AF25" s="16" t="s">
        <v>322</v>
      </c>
      <c r="AG25" s="4" t="b">
        <f t="shared" si="0"/>
        <v>1</v>
      </c>
      <c r="AH25" s="68" t="s">
        <v>816</v>
      </c>
      <c r="AI25" s="16" t="s">
        <v>608</v>
      </c>
    </row>
    <row r="26" spans="1:35" x14ac:dyDescent="0.2">
      <c r="A26" s="14">
        <v>18</v>
      </c>
      <c r="B26" s="28" t="s">
        <v>323</v>
      </c>
      <c r="C26" s="14" t="s">
        <v>680</v>
      </c>
      <c r="D26" s="14">
        <v>22</v>
      </c>
      <c r="E26" s="14">
        <v>0</v>
      </c>
      <c r="F26" s="14">
        <v>0</v>
      </c>
      <c r="G26" s="28" t="s">
        <v>616</v>
      </c>
      <c r="H26" s="107"/>
      <c r="I26" s="112"/>
      <c r="J26" s="107">
        <v>1493388</v>
      </c>
      <c r="K26" s="112">
        <v>0</v>
      </c>
      <c r="L26" s="107">
        <v>0</v>
      </c>
      <c r="M26" s="112">
        <v>0</v>
      </c>
      <c r="N26" s="107">
        <v>0</v>
      </c>
      <c r="O26" s="112">
        <v>0</v>
      </c>
      <c r="P26" s="107">
        <v>0</v>
      </c>
      <c r="Q26" s="112">
        <v>1493388</v>
      </c>
      <c r="R26" s="107">
        <v>0</v>
      </c>
      <c r="S26" s="112">
        <v>0</v>
      </c>
      <c r="T26" s="107">
        <v>0</v>
      </c>
      <c r="U26" s="112">
        <v>0</v>
      </c>
      <c r="V26" s="107">
        <v>0</v>
      </c>
      <c r="W26" s="112">
        <v>0</v>
      </c>
      <c r="X26" s="107">
        <v>0</v>
      </c>
      <c r="Y26" s="112">
        <v>0</v>
      </c>
      <c r="Z26" s="107">
        <v>0</v>
      </c>
      <c r="AA26" s="112">
        <v>1493388</v>
      </c>
      <c r="AB26" s="107">
        <v>12</v>
      </c>
      <c r="AC26" s="112">
        <v>1493400</v>
      </c>
      <c r="AD26" s="28" t="s">
        <v>344</v>
      </c>
      <c r="AE26" s="68" t="s">
        <v>457</v>
      </c>
      <c r="AF26" s="16" t="s">
        <v>323</v>
      </c>
      <c r="AG26" s="4" t="b">
        <f t="shared" si="0"/>
        <v>1</v>
      </c>
      <c r="AH26" s="68" t="s">
        <v>520</v>
      </c>
      <c r="AI26" s="16" t="s">
        <v>85</v>
      </c>
    </row>
    <row r="27" spans="1:35" x14ac:dyDescent="0.2">
      <c r="A27" s="14">
        <v>19</v>
      </c>
      <c r="B27" s="28" t="s">
        <v>324</v>
      </c>
      <c r="C27" s="14" t="s">
        <v>681</v>
      </c>
      <c r="D27" s="14">
        <v>22</v>
      </c>
      <c r="E27" s="14">
        <v>0</v>
      </c>
      <c r="F27" s="14">
        <v>0</v>
      </c>
      <c r="G27" s="28" t="s">
        <v>616</v>
      </c>
      <c r="H27" s="107"/>
      <c r="I27" s="112"/>
      <c r="J27" s="107">
        <v>1493388</v>
      </c>
      <c r="K27" s="112">
        <v>0</v>
      </c>
      <c r="L27" s="107">
        <v>0</v>
      </c>
      <c r="M27" s="112">
        <v>0</v>
      </c>
      <c r="N27" s="107">
        <v>0</v>
      </c>
      <c r="O27" s="112">
        <v>0</v>
      </c>
      <c r="P27" s="107">
        <v>0</v>
      </c>
      <c r="Q27" s="112">
        <v>1493388</v>
      </c>
      <c r="R27" s="107">
        <v>33</v>
      </c>
      <c r="S27" s="112">
        <v>2536.8937500000002</v>
      </c>
      <c r="T27" s="107">
        <v>0</v>
      </c>
      <c r="U27" s="112">
        <v>0</v>
      </c>
      <c r="V27" s="107">
        <v>0</v>
      </c>
      <c r="W27" s="112">
        <v>0</v>
      </c>
      <c r="X27" s="107">
        <v>0</v>
      </c>
      <c r="Y27" s="112">
        <v>0</v>
      </c>
      <c r="Z27" s="107">
        <v>2536.8937500000002</v>
      </c>
      <c r="AA27" s="112">
        <v>1490851.10625</v>
      </c>
      <c r="AB27" s="107">
        <v>48.893750000046566</v>
      </c>
      <c r="AC27" s="112">
        <v>1490900</v>
      </c>
      <c r="AD27" s="28" t="s">
        <v>345</v>
      </c>
      <c r="AE27" s="68" t="s">
        <v>456</v>
      </c>
      <c r="AF27" s="16" t="s">
        <v>324</v>
      </c>
      <c r="AG27" s="4" t="b">
        <f t="shared" si="0"/>
        <v>1</v>
      </c>
      <c r="AH27" s="68" t="s">
        <v>493</v>
      </c>
      <c r="AI27" s="16" t="s">
        <v>87</v>
      </c>
    </row>
    <row r="28" spans="1:35" x14ac:dyDescent="0.2">
      <c r="A28" s="14">
        <v>20</v>
      </c>
      <c r="B28" s="28" t="s">
        <v>326</v>
      </c>
      <c r="C28" s="14" t="s">
        <v>682</v>
      </c>
      <c r="D28" s="14">
        <v>22</v>
      </c>
      <c r="E28" s="14">
        <v>0</v>
      </c>
      <c r="F28" s="14">
        <v>0</v>
      </c>
      <c r="G28" s="28" t="s">
        <v>614</v>
      </c>
      <c r="H28" s="107"/>
      <c r="I28" s="112"/>
      <c r="J28" s="107">
        <v>1673624.69</v>
      </c>
      <c r="K28" s="112">
        <v>0</v>
      </c>
      <c r="L28" s="107">
        <v>0</v>
      </c>
      <c r="M28" s="112">
        <v>0</v>
      </c>
      <c r="N28" s="107">
        <v>0</v>
      </c>
      <c r="O28" s="112">
        <v>0</v>
      </c>
      <c r="P28" s="107">
        <v>0</v>
      </c>
      <c r="Q28" s="112">
        <v>1673624.69</v>
      </c>
      <c r="R28" s="107">
        <v>1</v>
      </c>
      <c r="S28" s="112">
        <v>93.943436553030295</v>
      </c>
      <c r="T28" s="107">
        <v>0</v>
      </c>
      <c r="U28" s="112">
        <v>0</v>
      </c>
      <c r="V28" s="107">
        <v>0</v>
      </c>
      <c r="W28" s="112">
        <v>0</v>
      </c>
      <c r="X28" s="107">
        <v>0</v>
      </c>
      <c r="Y28" s="112">
        <v>0</v>
      </c>
      <c r="Z28" s="107">
        <v>93.943436553030295</v>
      </c>
      <c r="AA28" s="112">
        <v>1673530.7465634469</v>
      </c>
      <c r="AB28" s="107">
        <v>69.253436553059146</v>
      </c>
      <c r="AC28" s="112">
        <v>1673600</v>
      </c>
      <c r="AD28" s="28" t="s">
        <v>346</v>
      </c>
      <c r="AE28" s="68" t="s">
        <v>471</v>
      </c>
      <c r="AF28" s="16" t="s">
        <v>326</v>
      </c>
      <c r="AG28" s="4" t="b">
        <f t="shared" si="0"/>
        <v>1</v>
      </c>
      <c r="AH28" s="68" t="s">
        <v>549</v>
      </c>
      <c r="AI28" s="16" t="s">
        <v>67</v>
      </c>
    </row>
    <row r="29" spans="1:35" x14ac:dyDescent="0.2">
      <c r="A29" s="14">
        <v>21</v>
      </c>
      <c r="B29" s="28" t="s">
        <v>328</v>
      </c>
      <c r="C29" s="14" t="s">
        <v>684</v>
      </c>
      <c r="D29" s="14">
        <v>22</v>
      </c>
      <c r="E29" s="14">
        <v>0</v>
      </c>
      <c r="F29" s="14">
        <v>0</v>
      </c>
      <c r="G29" s="59" t="s">
        <v>626</v>
      </c>
      <c r="H29" s="107"/>
      <c r="I29" s="112"/>
      <c r="J29" s="107">
        <v>2059845.78</v>
      </c>
      <c r="K29" s="112">
        <v>0</v>
      </c>
      <c r="L29" s="107">
        <v>0</v>
      </c>
      <c r="M29" s="112">
        <v>29259.0625</v>
      </c>
      <c r="N29" s="107">
        <v>0</v>
      </c>
      <c r="O29" s="112">
        <v>0</v>
      </c>
      <c r="P29" s="107">
        <v>0</v>
      </c>
      <c r="Q29" s="112">
        <v>2089104.8425</v>
      </c>
      <c r="R29" s="107">
        <v>84</v>
      </c>
      <c r="S29" s="112">
        <v>10963.461886363635</v>
      </c>
      <c r="T29" s="107">
        <v>0</v>
      </c>
      <c r="U29" s="112">
        <v>0</v>
      </c>
      <c r="V29" s="107">
        <v>0</v>
      </c>
      <c r="W29" s="112">
        <v>0</v>
      </c>
      <c r="X29" s="107">
        <v>0</v>
      </c>
      <c r="Y29" s="112">
        <v>0</v>
      </c>
      <c r="Z29" s="107">
        <v>10963.461886363635</v>
      </c>
      <c r="AA29" s="112">
        <v>2078141.3806136365</v>
      </c>
      <c r="AB29" s="107">
        <v>58.619386363541707</v>
      </c>
      <c r="AC29" s="112">
        <v>2078200</v>
      </c>
      <c r="AD29" s="28" t="s">
        <v>64</v>
      </c>
      <c r="AE29" s="68" t="s">
        <v>447</v>
      </c>
      <c r="AF29" s="16" t="s">
        <v>328</v>
      </c>
      <c r="AG29" s="4" t="b">
        <f t="shared" si="0"/>
        <v>1</v>
      </c>
      <c r="AH29" s="68" t="s">
        <v>413</v>
      </c>
      <c r="AI29" s="16" t="s">
        <v>109</v>
      </c>
    </row>
    <row r="30" spans="1:35" x14ac:dyDescent="0.2">
      <c r="A30" s="14">
        <v>22</v>
      </c>
      <c r="B30" s="28" t="s">
        <v>329</v>
      </c>
      <c r="C30" s="14" t="s">
        <v>685</v>
      </c>
      <c r="D30" s="14">
        <v>22</v>
      </c>
      <c r="E30" s="14">
        <v>0</v>
      </c>
      <c r="F30" s="14">
        <v>0</v>
      </c>
      <c r="G30" s="58" t="s">
        <v>616</v>
      </c>
      <c r="H30" s="107"/>
      <c r="I30" s="112"/>
      <c r="J30" s="107">
        <v>1493388</v>
      </c>
      <c r="K30" s="112">
        <v>0</v>
      </c>
      <c r="L30" s="107">
        <v>0</v>
      </c>
      <c r="M30" s="112">
        <v>0</v>
      </c>
      <c r="N30" s="107">
        <v>0</v>
      </c>
      <c r="O30" s="112">
        <v>0</v>
      </c>
      <c r="P30" s="107">
        <v>0</v>
      </c>
      <c r="Q30" s="112">
        <v>1493388</v>
      </c>
      <c r="R30" s="107">
        <v>78</v>
      </c>
      <c r="S30" s="112">
        <v>5996.2943181818182</v>
      </c>
      <c r="T30" s="107">
        <v>0</v>
      </c>
      <c r="U30" s="112">
        <v>0</v>
      </c>
      <c r="V30" s="107">
        <v>0</v>
      </c>
      <c r="W30" s="112">
        <v>0</v>
      </c>
      <c r="X30" s="107">
        <v>0</v>
      </c>
      <c r="Y30" s="112">
        <v>0</v>
      </c>
      <c r="Z30" s="107">
        <v>5996.2943181818182</v>
      </c>
      <c r="AA30" s="112">
        <v>1487391.7056818181</v>
      </c>
      <c r="AB30" s="107">
        <v>8.2943181819282472</v>
      </c>
      <c r="AC30" s="112">
        <v>1487400</v>
      </c>
      <c r="AD30" s="28" t="s">
        <v>347</v>
      </c>
      <c r="AE30" s="68" t="s">
        <v>458</v>
      </c>
      <c r="AF30" s="16" t="s">
        <v>329</v>
      </c>
      <c r="AG30" s="4" t="b">
        <f t="shared" si="0"/>
        <v>1</v>
      </c>
      <c r="AH30" s="68" t="s">
        <v>499</v>
      </c>
      <c r="AI30" s="16" t="s">
        <v>77</v>
      </c>
    </row>
    <row r="31" spans="1:35" x14ac:dyDescent="0.2">
      <c r="A31" s="14">
        <v>23</v>
      </c>
      <c r="B31" s="28" t="s">
        <v>846</v>
      </c>
      <c r="C31" s="14" t="s">
        <v>686</v>
      </c>
      <c r="D31" s="14">
        <v>22</v>
      </c>
      <c r="E31" s="14">
        <v>0</v>
      </c>
      <c r="F31" s="14">
        <v>0</v>
      </c>
      <c r="G31" s="58" t="s">
        <v>625</v>
      </c>
      <c r="H31" s="107"/>
      <c r="I31" s="112"/>
      <c r="J31" s="107">
        <v>1673624.69</v>
      </c>
      <c r="K31" s="112">
        <v>0</v>
      </c>
      <c r="L31" s="107">
        <v>0</v>
      </c>
      <c r="M31" s="112">
        <v>261598.95012443181</v>
      </c>
      <c r="N31" s="107">
        <v>0</v>
      </c>
      <c r="O31" s="112">
        <v>0</v>
      </c>
      <c r="P31" s="107">
        <v>0</v>
      </c>
      <c r="Q31" s="112">
        <v>1935223.6401244318</v>
      </c>
      <c r="R31" s="107">
        <v>116</v>
      </c>
      <c r="S31" s="112">
        <v>10897.438640151515</v>
      </c>
      <c r="T31" s="107">
        <v>0</v>
      </c>
      <c r="U31" s="112">
        <v>0</v>
      </c>
      <c r="V31" s="107">
        <v>0</v>
      </c>
      <c r="W31" s="112">
        <v>0</v>
      </c>
      <c r="X31" s="107">
        <v>0</v>
      </c>
      <c r="Y31" s="112">
        <v>0</v>
      </c>
      <c r="Z31" s="107">
        <v>10897.438640151515</v>
      </c>
      <c r="AA31" s="112">
        <v>1924326.2014842804</v>
      </c>
      <c r="AB31" s="107">
        <v>73.798515719594434</v>
      </c>
      <c r="AC31" s="112">
        <v>1924400</v>
      </c>
      <c r="AD31" s="28" t="s">
        <v>348</v>
      </c>
      <c r="AE31" s="68" t="s">
        <v>491</v>
      </c>
      <c r="AF31" s="16" t="s">
        <v>846</v>
      </c>
      <c r="AG31" s="4" t="b">
        <f t="shared" si="0"/>
        <v>1</v>
      </c>
      <c r="AH31" s="68" t="s">
        <v>517</v>
      </c>
      <c r="AI31" s="16" t="s">
        <v>81</v>
      </c>
    </row>
    <row r="32" spans="1:35" x14ac:dyDescent="0.2">
      <c r="A32" s="14">
        <v>24</v>
      </c>
      <c r="B32" s="28" t="s">
        <v>331</v>
      </c>
      <c r="C32" s="14" t="s">
        <v>687</v>
      </c>
      <c r="D32" s="14">
        <v>22</v>
      </c>
      <c r="E32" s="14">
        <v>0</v>
      </c>
      <c r="F32" s="14">
        <v>0</v>
      </c>
      <c r="G32" s="58" t="s">
        <v>615</v>
      </c>
      <c r="H32" s="107"/>
      <c r="I32" s="112"/>
      <c r="J32" s="107">
        <v>2188586.14</v>
      </c>
      <c r="K32" s="112">
        <v>0</v>
      </c>
      <c r="L32" s="107">
        <v>0</v>
      </c>
      <c r="M32" s="112">
        <v>99481.188181818186</v>
      </c>
      <c r="N32" s="107">
        <v>0</v>
      </c>
      <c r="O32" s="112">
        <v>0</v>
      </c>
      <c r="P32" s="107">
        <v>0</v>
      </c>
      <c r="Q32" s="112">
        <v>2288067.3281818181</v>
      </c>
      <c r="R32" s="107">
        <v>9</v>
      </c>
      <c r="S32" s="112">
        <v>1284.3785284090909</v>
      </c>
      <c r="T32" s="107">
        <v>0</v>
      </c>
      <c r="U32" s="112">
        <v>0</v>
      </c>
      <c r="V32" s="107">
        <v>0</v>
      </c>
      <c r="W32" s="112">
        <v>0</v>
      </c>
      <c r="X32" s="107">
        <v>0</v>
      </c>
      <c r="Y32" s="112">
        <v>0</v>
      </c>
      <c r="Z32" s="107">
        <v>1284.3785284090909</v>
      </c>
      <c r="AA32" s="112">
        <v>2286782.949653409</v>
      </c>
      <c r="AB32" s="107">
        <v>17.050346591044217</v>
      </c>
      <c r="AC32" s="112">
        <v>2286800</v>
      </c>
      <c r="AD32" s="28" t="s">
        <v>352</v>
      </c>
      <c r="AE32" s="68" t="s">
        <v>498</v>
      </c>
      <c r="AF32" s="16" t="s">
        <v>331</v>
      </c>
      <c r="AG32" s="4" t="b">
        <f t="shared" si="0"/>
        <v>1</v>
      </c>
      <c r="AH32" s="68" t="s">
        <v>480</v>
      </c>
      <c r="AI32" s="16" t="s">
        <v>83</v>
      </c>
    </row>
    <row r="33" spans="1:35" x14ac:dyDescent="0.2">
      <c r="A33" s="14">
        <v>25</v>
      </c>
      <c r="B33" s="28" t="s">
        <v>357</v>
      </c>
      <c r="C33" s="14" t="s">
        <v>688</v>
      </c>
      <c r="D33" s="14">
        <v>22</v>
      </c>
      <c r="E33" s="14">
        <v>0</v>
      </c>
      <c r="F33" s="14">
        <v>0</v>
      </c>
      <c r="G33" s="58" t="s">
        <v>982</v>
      </c>
      <c r="H33" s="107"/>
      <c r="I33" s="112"/>
      <c r="J33" s="107">
        <v>2188586.14</v>
      </c>
      <c r="K33" s="112">
        <v>0</v>
      </c>
      <c r="L33" s="107">
        <v>0</v>
      </c>
      <c r="M33" s="112">
        <v>198962</v>
      </c>
      <c r="N33" s="107">
        <v>0</v>
      </c>
      <c r="O33" s="112">
        <v>0</v>
      </c>
      <c r="P33" s="107">
        <v>0</v>
      </c>
      <c r="Q33" s="112">
        <v>2387548.14</v>
      </c>
      <c r="R33" s="107">
        <v>55</v>
      </c>
      <c r="S33" s="112">
        <v>7848.979895833334</v>
      </c>
      <c r="T33" s="107">
        <v>0</v>
      </c>
      <c r="U33" s="112">
        <v>0</v>
      </c>
      <c r="V33" s="107">
        <v>0</v>
      </c>
      <c r="W33" s="112">
        <v>0</v>
      </c>
      <c r="X33" s="107">
        <v>0</v>
      </c>
      <c r="Y33" s="112">
        <v>0</v>
      </c>
      <c r="Z33" s="107">
        <v>7848.979895833334</v>
      </c>
      <c r="AA33" s="112">
        <v>2379699.1601041667</v>
      </c>
      <c r="AB33" s="107">
        <v>0.8398958332836628</v>
      </c>
      <c r="AC33" s="112">
        <v>2379700</v>
      </c>
      <c r="AD33" s="28" t="s">
        <v>366</v>
      </c>
      <c r="AE33" s="68" t="s">
        <v>540</v>
      </c>
      <c r="AF33" s="16" t="s">
        <v>357</v>
      </c>
      <c r="AG33" s="4" t="b">
        <f t="shared" si="0"/>
        <v>1</v>
      </c>
      <c r="AH33" s="68" t="s">
        <v>577</v>
      </c>
      <c r="AI33" s="16" t="s">
        <v>89</v>
      </c>
    </row>
    <row r="34" spans="1:35" x14ac:dyDescent="0.2">
      <c r="A34" s="14">
        <v>26</v>
      </c>
      <c r="B34" s="28" t="s">
        <v>332</v>
      </c>
      <c r="C34" s="14" t="s">
        <v>689</v>
      </c>
      <c r="D34" s="14">
        <v>22</v>
      </c>
      <c r="E34" s="14">
        <v>0</v>
      </c>
      <c r="F34" s="14">
        <v>0</v>
      </c>
      <c r="G34" s="28" t="s">
        <v>628</v>
      </c>
      <c r="H34" s="107"/>
      <c r="I34" s="112"/>
      <c r="J34" s="107">
        <v>2188586.14</v>
      </c>
      <c r="K34" s="112">
        <v>0</v>
      </c>
      <c r="L34" s="107">
        <v>0</v>
      </c>
      <c r="M34" s="112">
        <v>105076.80624999999</v>
      </c>
      <c r="N34" s="107">
        <v>0</v>
      </c>
      <c r="O34" s="112">
        <v>0</v>
      </c>
      <c r="P34" s="107">
        <v>0</v>
      </c>
      <c r="Q34" s="112">
        <v>2293662.94625</v>
      </c>
      <c r="R34" s="107">
        <v>55</v>
      </c>
      <c r="S34" s="112">
        <v>7848.979895833334</v>
      </c>
      <c r="T34" s="107">
        <v>0</v>
      </c>
      <c r="U34" s="112">
        <v>0</v>
      </c>
      <c r="V34" s="107">
        <v>0</v>
      </c>
      <c r="W34" s="112">
        <v>0</v>
      </c>
      <c r="X34" s="107">
        <v>0</v>
      </c>
      <c r="Y34" s="112">
        <v>0</v>
      </c>
      <c r="Z34" s="107">
        <v>7848.979895833334</v>
      </c>
      <c r="AA34" s="112">
        <v>2285813.9663541666</v>
      </c>
      <c r="AB34" s="107">
        <v>86.033645833376795</v>
      </c>
      <c r="AC34" s="112">
        <v>2285900</v>
      </c>
      <c r="AD34" s="28" t="s">
        <v>376</v>
      </c>
      <c r="AE34" s="68" t="s">
        <v>528</v>
      </c>
      <c r="AF34" s="16" t="s">
        <v>332</v>
      </c>
      <c r="AG34" s="4" t="b">
        <f t="shared" si="0"/>
        <v>1</v>
      </c>
      <c r="AH34" s="68" t="s">
        <v>426</v>
      </c>
      <c r="AI34" s="16" t="s">
        <v>93</v>
      </c>
    </row>
    <row r="35" spans="1:35" x14ac:dyDescent="0.2">
      <c r="A35" s="14">
        <v>27</v>
      </c>
      <c r="B35" s="28" t="s">
        <v>353</v>
      </c>
      <c r="C35" s="14" t="s">
        <v>690</v>
      </c>
      <c r="D35" s="14">
        <v>22</v>
      </c>
      <c r="E35" s="14">
        <v>0</v>
      </c>
      <c r="F35" s="14">
        <v>0</v>
      </c>
      <c r="G35" s="58" t="s">
        <v>629</v>
      </c>
      <c r="H35" s="107"/>
      <c r="I35" s="112"/>
      <c r="J35" s="107">
        <v>1673624.69</v>
      </c>
      <c r="K35" s="112">
        <v>0</v>
      </c>
      <c r="L35" s="107">
        <v>0</v>
      </c>
      <c r="M35" s="112">
        <v>211580.39404829539</v>
      </c>
      <c r="N35" s="107">
        <v>0</v>
      </c>
      <c r="O35" s="112">
        <v>0</v>
      </c>
      <c r="P35" s="107">
        <v>0</v>
      </c>
      <c r="Q35" s="112">
        <v>1885205.0840482954</v>
      </c>
      <c r="R35" s="107">
        <v>9</v>
      </c>
      <c r="S35" s="112">
        <v>845.49092897727269</v>
      </c>
      <c r="T35" s="107">
        <v>0</v>
      </c>
      <c r="U35" s="112">
        <v>0</v>
      </c>
      <c r="V35" s="107">
        <v>0</v>
      </c>
      <c r="W35" s="112">
        <v>0</v>
      </c>
      <c r="X35" s="107">
        <v>0</v>
      </c>
      <c r="Y35" s="112">
        <v>0</v>
      </c>
      <c r="Z35" s="107">
        <v>845.49092897727269</v>
      </c>
      <c r="AA35" s="112">
        <v>1884359.5931193181</v>
      </c>
      <c r="AB35" s="107">
        <v>40.406880681868643</v>
      </c>
      <c r="AC35" s="112">
        <v>1884400</v>
      </c>
      <c r="AD35" s="28" t="s">
        <v>349</v>
      </c>
      <c r="AE35" s="68" t="s">
        <v>437</v>
      </c>
      <c r="AF35" s="16" t="s">
        <v>353</v>
      </c>
      <c r="AG35" s="4" t="b">
        <f t="shared" si="0"/>
        <v>1</v>
      </c>
      <c r="AH35" s="68" t="s">
        <v>414</v>
      </c>
      <c r="AI35" s="16" t="s">
        <v>137</v>
      </c>
    </row>
    <row r="36" spans="1:35" x14ac:dyDescent="0.2">
      <c r="A36" s="14">
        <v>28</v>
      </c>
      <c r="B36" s="28" t="s">
        <v>354</v>
      </c>
      <c r="C36" s="14" t="s">
        <v>691</v>
      </c>
      <c r="D36" s="14">
        <v>22</v>
      </c>
      <c r="E36" s="14">
        <v>0</v>
      </c>
      <c r="F36" s="14">
        <v>0</v>
      </c>
      <c r="G36" s="58" t="s">
        <v>630</v>
      </c>
      <c r="H36" s="107"/>
      <c r="I36" s="112"/>
      <c r="J36" s="107">
        <v>1673624.69</v>
      </c>
      <c r="K36" s="112">
        <v>0</v>
      </c>
      <c r="L36" s="107">
        <v>0</v>
      </c>
      <c r="M36" s="112">
        <v>0</v>
      </c>
      <c r="N36" s="107">
        <v>0</v>
      </c>
      <c r="O36" s="112">
        <v>0</v>
      </c>
      <c r="P36" s="107">
        <v>0</v>
      </c>
      <c r="Q36" s="112">
        <v>1673624.69</v>
      </c>
      <c r="R36" s="107">
        <v>1</v>
      </c>
      <c r="S36" s="112">
        <v>93.943436553030295</v>
      </c>
      <c r="T36" s="107">
        <v>0</v>
      </c>
      <c r="U36" s="112">
        <v>0</v>
      </c>
      <c r="V36" s="107">
        <v>0</v>
      </c>
      <c r="W36" s="112">
        <v>0</v>
      </c>
      <c r="X36" s="107">
        <v>0</v>
      </c>
      <c r="Y36" s="112">
        <v>0</v>
      </c>
      <c r="Z36" s="107">
        <v>93.943436553030295</v>
      </c>
      <c r="AA36" s="112">
        <v>1673530.7465634469</v>
      </c>
      <c r="AB36" s="107">
        <v>69.253436553059146</v>
      </c>
      <c r="AC36" s="112">
        <v>1673600</v>
      </c>
      <c r="AD36" s="28" t="s">
        <v>375</v>
      </c>
      <c r="AE36" s="68" t="s">
        <v>508</v>
      </c>
      <c r="AF36" s="16" t="s">
        <v>354</v>
      </c>
      <c r="AG36" s="4" t="b">
        <f t="shared" si="0"/>
        <v>1</v>
      </c>
      <c r="AH36" s="68" t="s">
        <v>478</v>
      </c>
      <c r="AI36" s="16" t="s">
        <v>148</v>
      </c>
    </row>
    <row r="37" spans="1:35" x14ac:dyDescent="0.2">
      <c r="A37" s="14">
        <v>29</v>
      </c>
      <c r="B37" s="28" t="s">
        <v>358</v>
      </c>
      <c r="C37" s="14" t="s">
        <v>692</v>
      </c>
      <c r="D37" s="14">
        <v>22</v>
      </c>
      <c r="E37" s="14">
        <v>0</v>
      </c>
      <c r="F37" s="14">
        <v>0</v>
      </c>
      <c r="G37" s="58" t="s">
        <v>625</v>
      </c>
      <c r="H37" s="107"/>
      <c r="I37" s="112"/>
      <c r="J37" s="107">
        <v>1493388.19</v>
      </c>
      <c r="K37" s="112">
        <v>0</v>
      </c>
      <c r="L37" s="107">
        <v>0</v>
      </c>
      <c r="M37" s="112">
        <v>390402.2194426136</v>
      </c>
      <c r="N37" s="107">
        <v>0</v>
      </c>
      <c r="O37" s="112">
        <v>0</v>
      </c>
      <c r="P37" s="107">
        <v>0</v>
      </c>
      <c r="Q37" s="112">
        <v>1883790.4094426136</v>
      </c>
      <c r="R37" s="107">
        <v>3</v>
      </c>
      <c r="S37" s="112">
        <v>230.62675852272724</v>
      </c>
      <c r="T37" s="107">
        <v>0</v>
      </c>
      <c r="U37" s="112">
        <v>0</v>
      </c>
      <c r="V37" s="107">
        <v>0</v>
      </c>
      <c r="W37" s="112">
        <v>0</v>
      </c>
      <c r="X37" s="107">
        <v>0</v>
      </c>
      <c r="Y37" s="112">
        <v>0</v>
      </c>
      <c r="Z37" s="107">
        <v>230.62675852272724</v>
      </c>
      <c r="AA37" s="112">
        <v>1883559.7826840908</v>
      </c>
      <c r="AB37" s="107">
        <v>40.217315909219906</v>
      </c>
      <c r="AC37" s="112">
        <v>1883600</v>
      </c>
      <c r="AD37" s="28" t="s">
        <v>66</v>
      </c>
      <c r="AE37" s="68" t="s">
        <v>492</v>
      </c>
      <c r="AF37" s="16" t="s">
        <v>358</v>
      </c>
      <c r="AG37" s="4" t="b">
        <f t="shared" si="0"/>
        <v>1</v>
      </c>
      <c r="AH37" s="68" t="s">
        <v>415</v>
      </c>
      <c r="AI37" s="16" t="s">
        <v>159</v>
      </c>
    </row>
    <row r="38" spans="1:35" x14ac:dyDescent="0.2">
      <c r="A38" s="14">
        <v>30</v>
      </c>
      <c r="B38" s="28" t="s">
        <v>337</v>
      </c>
      <c r="C38" s="14" t="s">
        <v>693</v>
      </c>
      <c r="D38" s="14">
        <v>22</v>
      </c>
      <c r="E38" s="14">
        <v>0</v>
      </c>
      <c r="F38" s="14">
        <v>0</v>
      </c>
      <c r="G38" s="58" t="s">
        <v>631</v>
      </c>
      <c r="H38" s="107"/>
      <c r="I38" s="112"/>
      <c r="J38" s="107">
        <v>2059845.78</v>
      </c>
      <c r="K38" s="112">
        <v>0</v>
      </c>
      <c r="L38" s="107">
        <v>0</v>
      </c>
      <c r="M38" s="112">
        <v>232668.94378636361</v>
      </c>
      <c r="N38" s="107">
        <v>0</v>
      </c>
      <c r="O38" s="112">
        <v>0</v>
      </c>
      <c r="P38" s="107">
        <v>0</v>
      </c>
      <c r="Q38" s="112">
        <v>2292514.7237863638</v>
      </c>
      <c r="R38" s="107">
        <v>7</v>
      </c>
      <c r="S38" s="112">
        <v>913.62182386363645</v>
      </c>
      <c r="T38" s="107">
        <v>0</v>
      </c>
      <c r="U38" s="112">
        <v>0</v>
      </c>
      <c r="V38" s="107">
        <v>0</v>
      </c>
      <c r="W38" s="112">
        <v>0</v>
      </c>
      <c r="X38" s="107">
        <v>0</v>
      </c>
      <c r="Y38" s="112">
        <v>0</v>
      </c>
      <c r="Z38" s="107">
        <v>913.62182386363645</v>
      </c>
      <c r="AA38" s="112">
        <v>2291601.1019625003</v>
      </c>
      <c r="AB38" s="107">
        <v>98.89803749974817</v>
      </c>
      <c r="AC38" s="112">
        <v>2291700</v>
      </c>
      <c r="AD38" s="28" t="s">
        <v>68</v>
      </c>
      <c r="AE38" s="68" t="s">
        <v>535</v>
      </c>
      <c r="AF38" s="16" t="s">
        <v>337</v>
      </c>
      <c r="AG38" s="4" t="b">
        <f t="shared" si="0"/>
        <v>1</v>
      </c>
      <c r="AH38" s="68" t="s">
        <v>483</v>
      </c>
      <c r="AI38" s="16" t="s">
        <v>173</v>
      </c>
    </row>
    <row r="39" spans="1:35" x14ac:dyDescent="0.2">
      <c r="A39" s="14">
        <v>31</v>
      </c>
      <c r="B39" s="28" t="s">
        <v>355</v>
      </c>
      <c r="C39" s="14" t="s">
        <v>694</v>
      </c>
      <c r="D39" s="14">
        <v>22</v>
      </c>
      <c r="E39" s="14">
        <v>0</v>
      </c>
      <c r="F39" s="14">
        <v>0</v>
      </c>
      <c r="G39" s="58" t="s">
        <v>614</v>
      </c>
      <c r="H39" s="107"/>
      <c r="I39" s="112"/>
      <c r="J39" s="107">
        <v>1673624.69</v>
      </c>
      <c r="K39" s="112">
        <v>0</v>
      </c>
      <c r="L39" s="107">
        <v>0</v>
      </c>
      <c r="M39" s="112">
        <v>0</v>
      </c>
      <c r="N39" s="107">
        <v>0</v>
      </c>
      <c r="O39" s="112">
        <v>0</v>
      </c>
      <c r="P39" s="107">
        <v>0</v>
      </c>
      <c r="Q39" s="112">
        <v>1673624.69</v>
      </c>
      <c r="R39" s="107">
        <v>41</v>
      </c>
      <c r="S39" s="112">
        <v>3851.6808986742421</v>
      </c>
      <c r="T39" s="107">
        <v>0</v>
      </c>
      <c r="U39" s="112">
        <v>0</v>
      </c>
      <c r="V39" s="107">
        <v>0</v>
      </c>
      <c r="W39" s="112">
        <v>0</v>
      </c>
      <c r="X39" s="107">
        <v>0</v>
      </c>
      <c r="Y39" s="112">
        <v>0</v>
      </c>
      <c r="Z39" s="107">
        <v>3851.6808986742421</v>
      </c>
      <c r="AA39" s="112">
        <v>1669773.0091013256</v>
      </c>
      <c r="AB39" s="107">
        <v>26.990898674353957</v>
      </c>
      <c r="AC39" s="112">
        <v>1669800</v>
      </c>
      <c r="AD39" s="28" t="s">
        <v>70</v>
      </c>
      <c r="AE39" s="68" t="s">
        <v>472</v>
      </c>
      <c r="AF39" s="16" t="s">
        <v>355</v>
      </c>
      <c r="AG39" s="4" t="b">
        <f t="shared" si="0"/>
        <v>1</v>
      </c>
      <c r="AH39" s="68" t="s">
        <v>562</v>
      </c>
      <c r="AI39" s="16" t="s">
        <v>180</v>
      </c>
    </row>
    <row r="40" spans="1:35" x14ac:dyDescent="0.2">
      <c r="A40" s="14">
        <v>32</v>
      </c>
      <c r="B40" s="28" t="s">
        <v>381</v>
      </c>
      <c r="C40" s="14" t="s">
        <v>695</v>
      </c>
      <c r="D40" s="14">
        <v>22</v>
      </c>
      <c r="E40" s="14">
        <v>0</v>
      </c>
      <c r="F40" s="14">
        <v>0</v>
      </c>
      <c r="G40" s="58" t="s">
        <v>627</v>
      </c>
      <c r="H40" s="107"/>
      <c r="I40" s="112"/>
      <c r="J40" s="107">
        <v>2188586.14</v>
      </c>
      <c r="K40" s="112">
        <v>0</v>
      </c>
      <c r="L40" s="107">
        <v>0</v>
      </c>
      <c r="M40" s="112">
        <v>0</v>
      </c>
      <c r="N40" s="107">
        <v>0</v>
      </c>
      <c r="O40" s="112">
        <v>0</v>
      </c>
      <c r="P40" s="107">
        <v>0</v>
      </c>
      <c r="Q40" s="112">
        <v>2188586.14</v>
      </c>
      <c r="R40" s="107">
        <v>111</v>
      </c>
      <c r="S40" s="112">
        <v>15840.668517045457</v>
      </c>
      <c r="T40" s="107">
        <v>0</v>
      </c>
      <c r="U40" s="112">
        <v>0</v>
      </c>
      <c r="V40" s="107">
        <v>0</v>
      </c>
      <c r="W40" s="112">
        <v>0</v>
      </c>
      <c r="X40" s="107">
        <v>0</v>
      </c>
      <c r="Y40" s="112">
        <v>0</v>
      </c>
      <c r="Z40" s="107">
        <v>15840.668517045457</v>
      </c>
      <c r="AA40" s="112">
        <v>2172745.4714829545</v>
      </c>
      <c r="AB40" s="107">
        <v>54.528517045546323</v>
      </c>
      <c r="AC40" s="112">
        <v>2172800</v>
      </c>
      <c r="AD40" s="28" t="s">
        <v>72</v>
      </c>
      <c r="AE40" s="68" t="s">
        <v>566</v>
      </c>
      <c r="AF40" s="16" t="s">
        <v>381</v>
      </c>
      <c r="AG40" s="4" t="b">
        <f t="shared" si="0"/>
        <v>1</v>
      </c>
      <c r="AH40" s="68" t="s">
        <v>416</v>
      </c>
      <c r="AI40" s="16" t="s">
        <v>182</v>
      </c>
    </row>
    <row r="41" spans="1:35" x14ac:dyDescent="0.2">
      <c r="A41" s="14">
        <v>33</v>
      </c>
      <c r="B41" s="28" t="s">
        <v>382</v>
      </c>
      <c r="C41" s="14" t="s">
        <v>696</v>
      </c>
      <c r="D41" s="14">
        <v>22</v>
      </c>
      <c r="E41" s="14">
        <v>0</v>
      </c>
      <c r="F41" s="14">
        <v>0</v>
      </c>
      <c r="G41" s="58" t="s">
        <v>632</v>
      </c>
      <c r="H41" s="107"/>
      <c r="I41" s="112"/>
      <c r="J41" s="107">
        <v>2188586.14</v>
      </c>
      <c r="K41" s="112">
        <v>0</v>
      </c>
      <c r="L41" s="107">
        <v>0</v>
      </c>
      <c r="M41" s="112">
        <v>174091.75</v>
      </c>
      <c r="N41" s="107">
        <v>0</v>
      </c>
      <c r="O41" s="112">
        <v>0</v>
      </c>
      <c r="P41" s="107">
        <v>0</v>
      </c>
      <c r="Q41" s="112">
        <v>2362677.89</v>
      </c>
      <c r="R41" s="107">
        <v>2</v>
      </c>
      <c r="S41" s="112">
        <v>285.41745075757581</v>
      </c>
      <c r="T41" s="107">
        <v>0</v>
      </c>
      <c r="U41" s="112">
        <v>0</v>
      </c>
      <c r="V41" s="107">
        <v>0</v>
      </c>
      <c r="W41" s="112">
        <v>0</v>
      </c>
      <c r="X41" s="107">
        <v>0</v>
      </c>
      <c r="Y41" s="112">
        <v>0</v>
      </c>
      <c r="Z41" s="107">
        <v>285.41745075757581</v>
      </c>
      <c r="AA41" s="112">
        <v>2362392.4725492424</v>
      </c>
      <c r="AB41" s="107">
        <v>7.5274507575668395</v>
      </c>
      <c r="AC41" s="112">
        <v>2362400</v>
      </c>
      <c r="AD41" s="28" t="s">
        <v>74</v>
      </c>
      <c r="AE41" s="68" t="s">
        <v>567</v>
      </c>
      <c r="AF41" s="16" t="s">
        <v>382</v>
      </c>
      <c r="AG41" s="4" t="b">
        <f t="shared" si="0"/>
        <v>1</v>
      </c>
      <c r="AH41" s="68" t="s">
        <v>533</v>
      </c>
      <c r="AI41" s="16" t="s">
        <v>157</v>
      </c>
    </row>
    <row r="42" spans="1:35" x14ac:dyDescent="0.2">
      <c r="A42" s="14">
        <v>34</v>
      </c>
      <c r="B42" s="28" t="s">
        <v>383</v>
      </c>
      <c r="C42" s="14" t="s">
        <v>697</v>
      </c>
      <c r="D42" s="14">
        <v>22</v>
      </c>
      <c r="E42" s="14">
        <v>0</v>
      </c>
      <c r="F42" s="14">
        <v>0</v>
      </c>
      <c r="G42" s="58" t="s">
        <v>633</v>
      </c>
      <c r="H42" s="107"/>
      <c r="I42" s="112"/>
      <c r="J42" s="107">
        <v>2188586.14</v>
      </c>
      <c r="K42" s="112">
        <v>0</v>
      </c>
      <c r="L42" s="107">
        <v>0</v>
      </c>
      <c r="M42" s="112">
        <v>0</v>
      </c>
      <c r="N42" s="107">
        <v>0</v>
      </c>
      <c r="O42" s="112">
        <v>0</v>
      </c>
      <c r="P42" s="107">
        <v>0</v>
      </c>
      <c r="Q42" s="112">
        <v>2188586.14</v>
      </c>
      <c r="R42" s="107">
        <v>2</v>
      </c>
      <c r="S42" s="112">
        <v>285.41745075757581</v>
      </c>
      <c r="T42" s="107">
        <v>0</v>
      </c>
      <c r="U42" s="112">
        <v>0</v>
      </c>
      <c r="V42" s="107">
        <v>0</v>
      </c>
      <c r="W42" s="112">
        <v>0</v>
      </c>
      <c r="X42" s="107">
        <v>0</v>
      </c>
      <c r="Y42" s="112">
        <v>0</v>
      </c>
      <c r="Z42" s="107">
        <v>285.41745075757581</v>
      </c>
      <c r="AA42" s="112">
        <v>2188300.7225492424</v>
      </c>
      <c r="AB42" s="107">
        <v>99.277450757566839</v>
      </c>
      <c r="AC42" s="112">
        <v>2188400</v>
      </c>
      <c r="AD42" s="28" t="s">
        <v>76</v>
      </c>
      <c r="AE42" s="68" t="s">
        <v>568</v>
      </c>
      <c r="AF42" s="16" t="s">
        <v>383</v>
      </c>
      <c r="AG42" s="4" t="b">
        <f t="shared" si="0"/>
        <v>1</v>
      </c>
      <c r="AH42" s="68" t="s">
        <v>464</v>
      </c>
      <c r="AI42" s="16" t="s">
        <v>260</v>
      </c>
    </row>
    <row r="43" spans="1:35" x14ac:dyDescent="0.2">
      <c r="A43" s="14">
        <v>35</v>
      </c>
      <c r="B43" s="28" t="s">
        <v>384</v>
      </c>
      <c r="C43" s="14" t="s">
        <v>698</v>
      </c>
      <c r="D43" s="14">
        <v>22</v>
      </c>
      <c r="E43" s="14">
        <v>0</v>
      </c>
      <c r="F43" s="14">
        <v>0</v>
      </c>
      <c r="G43" s="58" t="s">
        <v>633</v>
      </c>
      <c r="H43" s="107"/>
      <c r="I43" s="112"/>
      <c r="J43" s="107">
        <v>2188586.14</v>
      </c>
      <c r="K43" s="112">
        <v>0</v>
      </c>
      <c r="L43" s="107">
        <v>0</v>
      </c>
      <c r="M43" s="112">
        <v>0</v>
      </c>
      <c r="N43" s="107">
        <v>0</v>
      </c>
      <c r="O43" s="112">
        <v>0</v>
      </c>
      <c r="P43" s="107">
        <v>0</v>
      </c>
      <c r="Q43" s="112">
        <v>2188586.14</v>
      </c>
      <c r="R43" s="107">
        <v>3</v>
      </c>
      <c r="S43" s="112">
        <v>428.12617613636365</v>
      </c>
      <c r="T43" s="107">
        <v>0</v>
      </c>
      <c r="U43" s="112">
        <v>0</v>
      </c>
      <c r="V43" s="107">
        <v>0</v>
      </c>
      <c r="W43" s="112">
        <v>0</v>
      </c>
      <c r="X43" s="107">
        <v>0</v>
      </c>
      <c r="Y43" s="112">
        <v>0</v>
      </c>
      <c r="Z43" s="107">
        <v>428.12617613636365</v>
      </c>
      <c r="AA43" s="112">
        <v>2188158.0138238636</v>
      </c>
      <c r="AB43" s="107">
        <v>41.986176136415452</v>
      </c>
      <c r="AC43" s="112">
        <v>2188200</v>
      </c>
      <c r="AD43" s="28" t="s">
        <v>78</v>
      </c>
      <c r="AE43" s="68" t="s">
        <v>569</v>
      </c>
      <c r="AF43" s="16" t="s">
        <v>384</v>
      </c>
      <c r="AG43" s="4" t="b">
        <f t="shared" si="0"/>
        <v>1</v>
      </c>
      <c r="AH43" s="68" t="s">
        <v>479</v>
      </c>
      <c r="AI43" s="16" t="s">
        <v>314</v>
      </c>
    </row>
    <row r="44" spans="1:35" x14ac:dyDescent="0.2">
      <c r="A44" s="14">
        <v>36</v>
      </c>
      <c r="B44" s="28" t="s">
        <v>385</v>
      </c>
      <c r="C44" s="14" t="s">
        <v>699</v>
      </c>
      <c r="D44" s="14">
        <v>22</v>
      </c>
      <c r="E44" s="14">
        <v>0</v>
      </c>
      <c r="F44" s="14">
        <v>0</v>
      </c>
      <c r="G44" s="58" t="s">
        <v>628</v>
      </c>
      <c r="H44" s="107"/>
      <c r="I44" s="112"/>
      <c r="J44" s="107">
        <v>2188586.14</v>
      </c>
      <c r="K44" s="112">
        <v>0</v>
      </c>
      <c r="L44" s="107">
        <v>0</v>
      </c>
      <c r="M44" s="112">
        <v>0</v>
      </c>
      <c r="N44" s="107">
        <v>0</v>
      </c>
      <c r="O44" s="112">
        <v>0</v>
      </c>
      <c r="P44" s="107">
        <v>0</v>
      </c>
      <c r="Q44" s="112">
        <v>2188586.14</v>
      </c>
      <c r="R44" s="107">
        <v>41</v>
      </c>
      <c r="S44" s="112">
        <v>5851.0577405303029</v>
      </c>
      <c r="T44" s="107">
        <v>0</v>
      </c>
      <c r="U44" s="112">
        <v>0</v>
      </c>
      <c r="V44" s="107">
        <v>0</v>
      </c>
      <c r="W44" s="112">
        <v>0</v>
      </c>
      <c r="X44" s="107">
        <v>0</v>
      </c>
      <c r="Y44" s="112">
        <v>0</v>
      </c>
      <c r="Z44" s="107">
        <v>5851.0577405303029</v>
      </c>
      <c r="AA44" s="112">
        <v>2182735.0822594697</v>
      </c>
      <c r="AB44" s="107">
        <v>64.917740530334413</v>
      </c>
      <c r="AC44" s="112">
        <v>2182800</v>
      </c>
      <c r="AD44" s="28" t="s">
        <v>80</v>
      </c>
      <c r="AE44" s="68" t="s">
        <v>570</v>
      </c>
      <c r="AF44" s="16" t="s">
        <v>385</v>
      </c>
      <c r="AG44" s="4" t="b">
        <f t="shared" si="0"/>
        <v>1</v>
      </c>
      <c r="AH44" s="68" t="s">
        <v>546</v>
      </c>
      <c r="AI44" s="16" t="s">
        <v>207</v>
      </c>
    </row>
    <row r="45" spans="1:35" x14ac:dyDescent="0.2">
      <c r="A45" s="14">
        <v>37</v>
      </c>
      <c r="B45" s="28" t="s">
        <v>386</v>
      </c>
      <c r="C45" s="14" t="s">
        <v>700</v>
      </c>
      <c r="D45" s="14">
        <v>22</v>
      </c>
      <c r="E45" s="14">
        <v>0</v>
      </c>
      <c r="F45" s="14">
        <v>0</v>
      </c>
      <c r="G45" s="58" t="s">
        <v>627</v>
      </c>
      <c r="H45" s="107"/>
      <c r="I45" s="112"/>
      <c r="J45" s="107">
        <v>2188586.14</v>
      </c>
      <c r="K45" s="112">
        <v>0</v>
      </c>
      <c r="L45" s="107">
        <v>0</v>
      </c>
      <c r="M45" s="112">
        <v>99481</v>
      </c>
      <c r="N45" s="107">
        <v>0</v>
      </c>
      <c r="O45" s="112">
        <v>0</v>
      </c>
      <c r="P45" s="107">
        <v>0</v>
      </c>
      <c r="Q45" s="112">
        <v>2288067.14</v>
      </c>
      <c r="R45" s="107">
        <v>2</v>
      </c>
      <c r="S45" s="112">
        <v>285.41745075757581</v>
      </c>
      <c r="T45" s="107">
        <v>0</v>
      </c>
      <c r="U45" s="112">
        <v>0</v>
      </c>
      <c r="V45" s="107">
        <v>0</v>
      </c>
      <c r="W45" s="112">
        <v>0</v>
      </c>
      <c r="X45" s="107">
        <v>0</v>
      </c>
      <c r="Y45" s="112">
        <v>0</v>
      </c>
      <c r="Z45" s="107">
        <v>285.41745075757581</v>
      </c>
      <c r="AA45" s="112">
        <v>2287781.7225492424</v>
      </c>
      <c r="AB45" s="107">
        <v>18.277450757566839</v>
      </c>
      <c r="AC45" s="112">
        <v>2287800</v>
      </c>
      <c r="AD45" s="28" t="s">
        <v>82</v>
      </c>
      <c r="AE45" s="68" t="s">
        <v>565</v>
      </c>
      <c r="AF45" s="16" t="s">
        <v>386</v>
      </c>
      <c r="AG45" s="4" t="b">
        <f t="shared" si="0"/>
        <v>1</v>
      </c>
      <c r="AH45" s="68" t="s">
        <v>524</v>
      </c>
      <c r="AI45" s="16" t="s">
        <v>374</v>
      </c>
    </row>
    <row r="46" spans="1:35" x14ac:dyDescent="0.2">
      <c r="A46" s="14">
        <v>38</v>
      </c>
      <c r="B46" s="28" t="s">
        <v>387</v>
      </c>
      <c r="C46" s="14" t="s">
        <v>701</v>
      </c>
      <c r="D46" s="14">
        <v>28</v>
      </c>
      <c r="E46" s="14">
        <v>0</v>
      </c>
      <c r="F46" s="14">
        <v>0</v>
      </c>
      <c r="G46" s="58" t="s">
        <v>620</v>
      </c>
      <c r="H46" s="107"/>
      <c r="I46" s="112"/>
      <c r="J46" s="107">
        <v>3818181.8181818179</v>
      </c>
      <c r="K46" s="112">
        <v>0</v>
      </c>
      <c r="L46" s="107">
        <v>0</v>
      </c>
      <c r="M46" s="112">
        <v>0</v>
      </c>
      <c r="N46" s="107">
        <v>0</v>
      </c>
      <c r="O46" s="112">
        <v>0</v>
      </c>
      <c r="P46" s="107">
        <v>0</v>
      </c>
      <c r="Q46" s="112">
        <v>3818181.8181818179</v>
      </c>
      <c r="R46" s="107">
        <v>627</v>
      </c>
      <c r="S46" s="112">
        <v>226704.54545454541</v>
      </c>
      <c r="T46" s="107">
        <v>0</v>
      </c>
      <c r="U46" s="112">
        <v>0</v>
      </c>
      <c r="V46" s="107">
        <v>0</v>
      </c>
      <c r="W46" s="112">
        <v>0</v>
      </c>
      <c r="X46" s="107">
        <v>0</v>
      </c>
      <c r="Y46" s="112">
        <v>0</v>
      </c>
      <c r="Z46" s="107">
        <v>226704.54545454541</v>
      </c>
      <c r="AA46" s="112">
        <v>3591477.2727272725</v>
      </c>
      <c r="AB46" s="107">
        <v>22.727272727526724</v>
      </c>
      <c r="AC46" s="112">
        <v>3591500</v>
      </c>
      <c r="AD46" s="28" t="s">
        <v>84</v>
      </c>
      <c r="AE46" s="68" t="s">
        <v>571</v>
      </c>
      <c r="AF46" s="16" t="s">
        <v>387</v>
      </c>
      <c r="AG46" s="4" t="b">
        <f t="shared" si="0"/>
        <v>1</v>
      </c>
      <c r="AH46" s="68" t="s">
        <v>564</v>
      </c>
      <c r="AI46" s="16" t="s">
        <v>184</v>
      </c>
    </row>
    <row r="47" spans="1:35" x14ac:dyDescent="0.2">
      <c r="A47" s="14">
        <v>39</v>
      </c>
      <c r="B47" s="28" t="s">
        <v>388</v>
      </c>
      <c r="C47" s="14" t="s">
        <v>702</v>
      </c>
      <c r="D47" s="14">
        <v>19</v>
      </c>
      <c r="E47" s="14">
        <v>0</v>
      </c>
      <c r="F47" s="14">
        <v>0</v>
      </c>
      <c r="G47" s="58" t="s">
        <v>620</v>
      </c>
      <c r="H47" s="107"/>
      <c r="I47" s="112"/>
      <c r="J47" s="107">
        <v>2590909.0909090908</v>
      </c>
      <c r="K47" s="112">
        <v>0</v>
      </c>
      <c r="L47" s="107">
        <v>0</v>
      </c>
      <c r="M47" s="112">
        <v>0</v>
      </c>
      <c r="N47" s="107">
        <v>0</v>
      </c>
      <c r="O47" s="112">
        <v>0</v>
      </c>
      <c r="P47" s="107">
        <v>1227272.7272727271</v>
      </c>
      <c r="Q47" s="112">
        <v>3818181.8181818179</v>
      </c>
      <c r="R47" s="107">
        <v>570</v>
      </c>
      <c r="S47" s="112">
        <v>139850.20661157023</v>
      </c>
      <c r="T47" s="107">
        <v>0</v>
      </c>
      <c r="U47" s="112">
        <v>0</v>
      </c>
      <c r="V47" s="107">
        <v>0</v>
      </c>
      <c r="W47" s="112">
        <v>0</v>
      </c>
      <c r="X47" s="107">
        <v>0</v>
      </c>
      <c r="Y47" s="112">
        <v>0</v>
      </c>
      <c r="Z47" s="107">
        <v>139850.20661157023</v>
      </c>
      <c r="AA47" s="112">
        <v>3678331.6115702474</v>
      </c>
      <c r="AB47" s="107">
        <v>68.388429752551019</v>
      </c>
      <c r="AC47" s="112">
        <v>3678400</v>
      </c>
      <c r="AD47" s="28" t="s">
        <v>86</v>
      </c>
      <c r="AE47" s="68" t="s">
        <v>572</v>
      </c>
      <c r="AF47" s="16" t="s">
        <v>388</v>
      </c>
      <c r="AG47" s="4" t="b">
        <f t="shared" si="0"/>
        <v>1</v>
      </c>
      <c r="AH47" s="68" t="s">
        <v>461</v>
      </c>
      <c r="AI47" s="16" t="s">
        <v>278</v>
      </c>
    </row>
    <row r="48" spans="1:35" x14ac:dyDescent="0.2">
      <c r="A48" s="14">
        <v>40</v>
      </c>
      <c r="B48" s="28" t="s">
        <v>389</v>
      </c>
      <c r="C48" s="14" t="s">
        <v>703</v>
      </c>
      <c r="D48" s="14">
        <v>22</v>
      </c>
      <c r="E48" s="14">
        <v>0</v>
      </c>
      <c r="F48" s="14">
        <v>0</v>
      </c>
      <c r="G48" s="58" t="s">
        <v>620</v>
      </c>
      <c r="H48" s="107"/>
      <c r="I48" s="112"/>
      <c r="J48" s="107">
        <v>3000000</v>
      </c>
      <c r="K48" s="112">
        <v>0</v>
      </c>
      <c r="L48" s="107">
        <v>0</v>
      </c>
      <c r="M48" s="112">
        <v>0</v>
      </c>
      <c r="N48" s="107">
        <v>0</v>
      </c>
      <c r="O48" s="112">
        <v>0</v>
      </c>
      <c r="P48" s="107">
        <v>0</v>
      </c>
      <c r="Q48" s="112">
        <v>3000000</v>
      </c>
      <c r="R48" s="107">
        <v>0</v>
      </c>
      <c r="S48" s="112">
        <v>0</v>
      </c>
      <c r="T48" s="107">
        <v>0</v>
      </c>
      <c r="U48" s="112">
        <v>0</v>
      </c>
      <c r="V48" s="107">
        <v>0</v>
      </c>
      <c r="W48" s="112">
        <v>681582</v>
      </c>
      <c r="X48" s="107">
        <v>0</v>
      </c>
      <c r="Y48" s="112">
        <v>0</v>
      </c>
      <c r="Z48" s="107">
        <v>681582</v>
      </c>
      <c r="AA48" s="112">
        <v>2318418</v>
      </c>
      <c r="AB48" s="107">
        <v>82</v>
      </c>
      <c r="AC48" s="112">
        <v>2318500</v>
      </c>
      <c r="AD48" s="28" t="s">
        <v>88</v>
      </c>
      <c r="AE48" s="68" t="s">
        <v>573</v>
      </c>
      <c r="AF48" s="16" t="s">
        <v>389</v>
      </c>
      <c r="AG48" s="4" t="b">
        <f t="shared" si="0"/>
        <v>1</v>
      </c>
      <c r="AH48" s="68" t="s">
        <v>425</v>
      </c>
      <c r="AI48" s="16" t="s">
        <v>230</v>
      </c>
    </row>
    <row r="49" spans="1:37" x14ac:dyDescent="0.2">
      <c r="A49" s="14">
        <v>41</v>
      </c>
      <c r="B49" s="28" t="s">
        <v>390</v>
      </c>
      <c r="C49" s="14">
        <v>24247</v>
      </c>
      <c r="D49" s="14">
        <v>22</v>
      </c>
      <c r="E49" s="14">
        <v>0</v>
      </c>
      <c r="F49" s="14">
        <v>0</v>
      </c>
      <c r="G49" s="58" t="s">
        <v>626</v>
      </c>
      <c r="H49" s="107"/>
      <c r="I49" s="112"/>
      <c r="J49" s="107">
        <v>2059845.78</v>
      </c>
      <c r="K49" s="112">
        <v>0</v>
      </c>
      <c r="L49" s="107">
        <v>0</v>
      </c>
      <c r="M49" s="112">
        <v>141263.28729886361</v>
      </c>
      <c r="N49" s="107">
        <v>0</v>
      </c>
      <c r="O49" s="112">
        <v>0</v>
      </c>
      <c r="P49" s="107">
        <v>0</v>
      </c>
      <c r="Q49" s="112">
        <v>2201109.0672988635</v>
      </c>
      <c r="R49" s="107">
        <v>30</v>
      </c>
      <c r="S49" s="112">
        <v>3915.5221022727274</v>
      </c>
      <c r="T49" s="107">
        <v>0</v>
      </c>
      <c r="U49" s="112">
        <v>0</v>
      </c>
      <c r="V49" s="107">
        <v>0</v>
      </c>
      <c r="W49" s="112">
        <v>0</v>
      </c>
      <c r="X49" s="107">
        <v>0</v>
      </c>
      <c r="Y49" s="112">
        <v>0</v>
      </c>
      <c r="Z49" s="107">
        <v>3915.5221022727274</v>
      </c>
      <c r="AA49" s="112">
        <v>2197193.5451965909</v>
      </c>
      <c r="AB49" s="107">
        <v>6.4548034090548754</v>
      </c>
      <c r="AC49" s="112">
        <v>2197200</v>
      </c>
      <c r="AD49" s="28" t="s">
        <v>90</v>
      </c>
      <c r="AE49" s="68" t="s">
        <v>574</v>
      </c>
      <c r="AF49" s="16" t="s">
        <v>390</v>
      </c>
      <c r="AG49" s="4" t="b">
        <f t="shared" si="0"/>
        <v>1</v>
      </c>
      <c r="AH49" s="68" t="s">
        <v>561</v>
      </c>
      <c r="AI49" s="16" t="s">
        <v>232</v>
      </c>
    </row>
    <row r="50" spans="1:37" x14ac:dyDescent="0.2">
      <c r="A50" s="14">
        <v>42</v>
      </c>
      <c r="B50" s="28" t="s">
        <v>391</v>
      </c>
      <c r="C50" s="14" t="s">
        <v>705</v>
      </c>
      <c r="D50" s="14">
        <v>22</v>
      </c>
      <c r="E50" s="14">
        <v>0</v>
      </c>
      <c r="F50" s="14">
        <v>0</v>
      </c>
      <c r="G50" s="58" t="s">
        <v>626</v>
      </c>
      <c r="H50" s="107"/>
      <c r="I50" s="112"/>
      <c r="J50" s="107">
        <v>2059845.78</v>
      </c>
      <c r="K50" s="112">
        <v>0</v>
      </c>
      <c r="L50" s="107">
        <v>0</v>
      </c>
      <c r="M50" s="112">
        <v>22705.032499999972</v>
      </c>
      <c r="N50" s="107">
        <v>0</v>
      </c>
      <c r="O50" s="112">
        <v>0</v>
      </c>
      <c r="P50" s="107">
        <v>0</v>
      </c>
      <c r="Q50" s="112">
        <v>2082550.8125</v>
      </c>
      <c r="R50" s="107">
        <v>5</v>
      </c>
      <c r="S50" s="112">
        <v>652.58701704545456</v>
      </c>
      <c r="T50" s="107">
        <v>0</v>
      </c>
      <c r="U50" s="112">
        <v>0</v>
      </c>
      <c r="V50" s="107">
        <v>0</v>
      </c>
      <c r="W50" s="112">
        <v>0</v>
      </c>
      <c r="X50" s="107">
        <v>0</v>
      </c>
      <c r="Y50" s="112">
        <v>0</v>
      </c>
      <c r="Z50" s="107">
        <v>652.58701704545456</v>
      </c>
      <c r="AA50" s="112">
        <v>2081898.2254829546</v>
      </c>
      <c r="AB50" s="107">
        <v>1.7745170453563333</v>
      </c>
      <c r="AC50" s="112">
        <v>2081900</v>
      </c>
      <c r="AD50" s="28" t="s">
        <v>92</v>
      </c>
      <c r="AE50" s="68" t="s">
        <v>575</v>
      </c>
      <c r="AF50" s="16" t="s">
        <v>391</v>
      </c>
      <c r="AG50" s="4" t="b">
        <f t="shared" si="0"/>
        <v>1</v>
      </c>
      <c r="AH50" s="68" t="s">
        <v>814</v>
      </c>
      <c r="AI50" s="16" t="s">
        <v>612</v>
      </c>
    </row>
    <row r="51" spans="1:37" x14ac:dyDescent="0.2">
      <c r="A51" s="14">
        <v>43</v>
      </c>
      <c r="B51" s="28" t="s">
        <v>392</v>
      </c>
      <c r="C51" s="14" t="s">
        <v>706</v>
      </c>
      <c r="D51" s="14">
        <v>22</v>
      </c>
      <c r="E51" s="14">
        <v>0</v>
      </c>
      <c r="F51" s="14">
        <v>0</v>
      </c>
      <c r="G51" s="58" t="s">
        <v>617</v>
      </c>
      <c r="H51" s="107"/>
      <c r="I51" s="112"/>
      <c r="J51" s="107">
        <v>2059845.78</v>
      </c>
      <c r="K51" s="112">
        <v>0</v>
      </c>
      <c r="L51" s="107">
        <v>0</v>
      </c>
      <c r="M51" s="112">
        <v>13225.146201136353</v>
      </c>
      <c r="N51" s="107">
        <v>0</v>
      </c>
      <c r="O51" s="112">
        <v>0</v>
      </c>
      <c r="P51" s="107">
        <v>0</v>
      </c>
      <c r="Q51" s="112">
        <v>2073070.9262011363</v>
      </c>
      <c r="R51" s="107">
        <v>0</v>
      </c>
      <c r="S51" s="112">
        <v>0</v>
      </c>
      <c r="T51" s="107">
        <v>0</v>
      </c>
      <c r="U51" s="112">
        <v>0</v>
      </c>
      <c r="V51" s="107">
        <v>0</v>
      </c>
      <c r="W51" s="112">
        <v>0</v>
      </c>
      <c r="X51" s="107">
        <v>0</v>
      </c>
      <c r="Y51" s="112">
        <v>0</v>
      </c>
      <c r="Z51" s="107">
        <v>0</v>
      </c>
      <c r="AA51" s="112">
        <v>2073070.9262011363</v>
      </c>
      <c r="AB51" s="107">
        <v>29.073798863682896</v>
      </c>
      <c r="AC51" s="112">
        <v>2073100</v>
      </c>
      <c r="AD51" s="28" t="s">
        <v>94</v>
      </c>
      <c r="AE51" s="68" t="s">
        <v>576</v>
      </c>
      <c r="AF51" s="16" t="s">
        <v>392</v>
      </c>
      <c r="AG51" s="4" t="b">
        <f t="shared" si="0"/>
        <v>1</v>
      </c>
      <c r="AH51" s="68" t="s">
        <v>602</v>
      </c>
      <c r="AI51" s="16" t="s">
        <v>609</v>
      </c>
    </row>
    <row r="52" spans="1:37" x14ac:dyDescent="0.2">
      <c r="A52" s="14">
        <v>44</v>
      </c>
      <c r="B52" s="28" t="s">
        <v>586</v>
      </c>
      <c r="C52" s="14" t="s">
        <v>808</v>
      </c>
      <c r="D52" s="14">
        <v>22</v>
      </c>
      <c r="E52" s="14">
        <v>0</v>
      </c>
      <c r="F52" s="14">
        <v>0</v>
      </c>
      <c r="G52" s="58" t="s">
        <v>621</v>
      </c>
      <c r="H52" s="107"/>
      <c r="I52" s="112"/>
      <c r="J52" s="107">
        <v>2059845.78</v>
      </c>
      <c r="K52" s="112">
        <v>0</v>
      </c>
      <c r="L52" s="107">
        <v>0</v>
      </c>
      <c r="M52" s="112">
        <v>70222.015227272728</v>
      </c>
      <c r="N52" s="107">
        <v>0</v>
      </c>
      <c r="O52" s="112">
        <v>0</v>
      </c>
      <c r="P52" s="107">
        <v>0</v>
      </c>
      <c r="Q52" s="112">
        <v>2130067.7952272729</v>
      </c>
      <c r="R52" s="107">
        <v>0</v>
      </c>
      <c r="S52" s="112">
        <v>0</v>
      </c>
      <c r="T52" s="107">
        <v>0</v>
      </c>
      <c r="U52" s="112">
        <v>0</v>
      </c>
      <c r="V52" s="107">
        <v>0</v>
      </c>
      <c r="W52" s="112">
        <v>0</v>
      </c>
      <c r="X52" s="107">
        <v>0</v>
      </c>
      <c r="Y52" s="112">
        <v>0</v>
      </c>
      <c r="Z52" s="107">
        <v>0</v>
      </c>
      <c r="AA52" s="112">
        <v>2130067.7952272729</v>
      </c>
      <c r="AB52" s="107">
        <v>32.204772727098316</v>
      </c>
      <c r="AC52" s="112">
        <v>2130100</v>
      </c>
      <c r="AD52" s="28" t="s">
        <v>96</v>
      </c>
      <c r="AE52" s="68" t="s">
        <v>587</v>
      </c>
      <c r="AF52" s="16" t="s">
        <v>586</v>
      </c>
      <c r="AG52" s="4" t="b">
        <f t="shared" si="0"/>
        <v>1</v>
      </c>
    </row>
    <row r="53" spans="1:37" x14ac:dyDescent="0.2">
      <c r="A53" s="14">
        <v>45</v>
      </c>
      <c r="B53" s="28" t="s">
        <v>593</v>
      </c>
      <c r="C53" s="14" t="s">
        <v>707</v>
      </c>
      <c r="D53" s="14">
        <v>22</v>
      </c>
      <c r="E53" s="14">
        <v>0</v>
      </c>
      <c r="F53" s="14">
        <v>0</v>
      </c>
      <c r="G53" s="58" t="s">
        <v>617</v>
      </c>
      <c r="H53" s="107"/>
      <c r="I53" s="112"/>
      <c r="J53" s="107">
        <v>2059845.78</v>
      </c>
      <c r="K53" s="112">
        <v>0</v>
      </c>
      <c r="L53" s="107">
        <v>0</v>
      </c>
      <c r="M53" s="112">
        <v>16385.136886363642</v>
      </c>
      <c r="N53" s="107">
        <v>0</v>
      </c>
      <c r="O53" s="112">
        <v>0</v>
      </c>
      <c r="P53" s="107">
        <v>0</v>
      </c>
      <c r="Q53" s="112">
        <v>2076230.9168863636</v>
      </c>
      <c r="R53" s="107">
        <v>85</v>
      </c>
      <c r="S53" s="112">
        <v>11093.979289772727</v>
      </c>
      <c r="T53" s="107">
        <v>0</v>
      </c>
      <c r="U53" s="112">
        <v>0</v>
      </c>
      <c r="V53" s="107">
        <v>0</v>
      </c>
      <c r="W53" s="112">
        <v>0</v>
      </c>
      <c r="X53" s="107">
        <v>0</v>
      </c>
      <c r="Y53" s="112">
        <v>0</v>
      </c>
      <c r="Z53" s="107">
        <v>11093.979289772727</v>
      </c>
      <c r="AA53" s="112">
        <v>2065136.937596591</v>
      </c>
      <c r="AB53" s="107">
        <v>63.062403409043327</v>
      </c>
      <c r="AC53" s="112">
        <v>2065200</v>
      </c>
      <c r="AD53" s="28" t="s">
        <v>98</v>
      </c>
      <c r="AE53" s="68" t="s">
        <v>595</v>
      </c>
      <c r="AF53" s="16" t="s">
        <v>593</v>
      </c>
      <c r="AG53" s="4" t="b">
        <f t="shared" si="0"/>
        <v>1</v>
      </c>
    </row>
    <row r="54" spans="1:37" x14ac:dyDescent="0.2">
      <c r="A54" s="14">
        <v>46</v>
      </c>
      <c r="B54" s="28" t="s">
        <v>594</v>
      </c>
      <c r="C54" s="14" t="s">
        <v>803</v>
      </c>
      <c r="D54" s="14">
        <v>22</v>
      </c>
      <c r="E54" s="14">
        <v>0</v>
      </c>
      <c r="F54" s="14">
        <v>0</v>
      </c>
      <c r="G54" s="58" t="s">
        <v>614</v>
      </c>
      <c r="H54" s="107"/>
      <c r="I54" s="112"/>
      <c r="J54" s="107">
        <v>2059845.78</v>
      </c>
      <c r="K54" s="112">
        <v>0</v>
      </c>
      <c r="L54" s="107">
        <v>0</v>
      </c>
      <c r="M54" s="112">
        <v>129910.72817045452</v>
      </c>
      <c r="N54" s="107">
        <v>0</v>
      </c>
      <c r="O54" s="112">
        <v>0</v>
      </c>
      <c r="P54" s="107">
        <v>0</v>
      </c>
      <c r="Q54" s="112">
        <v>2189756.5081704548</v>
      </c>
      <c r="R54" s="107">
        <v>41</v>
      </c>
      <c r="S54" s="112">
        <v>5351.213539772727</v>
      </c>
      <c r="T54" s="107">
        <v>0</v>
      </c>
      <c r="U54" s="112">
        <v>0</v>
      </c>
      <c r="V54" s="107">
        <v>0</v>
      </c>
      <c r="W54" s="112">
        <v>0</v>
      </c>
      <c r="X54" s="107">
        <v>0</v>
      </c>
      <c r="Y54" s="112">
        <v>0</v>
      </c>
      <c r="Z54" s="107">
        <v>5351.213539772727</v>
      </c>
      <c r="AA54" s="112">
        <v>2184405.2946306821</v>
      </c>
      <c r="AB54" s="107">
        <v>94.705369317904115</v>
      </c>
      <c r="AC54" s="112">
        <v>2184500</v>
      </c>
      <c r="AD54" s="28" t="s">
        <v>100</v>
      </c>
      <c r="AE54" s="68" t="s">
        <v>596</v>
      </c>
      <c r="AF54" s="16" t="s">
        <v>594</v>
      </c>
      <c r="AG54" s="4" t="b">
        <f t="shared" si="0"/>
        <v>1</v>
      </c>
    </row>
    <row r="55" spans="1:37" x14ac:dyDescent="0.2">
      <c r="A55" s="14">
        <v>47</v>
      </c>
      <c r="B55" s="28" t="s">
        <v>606</v>
      </c>
      <c r="C55" s="14" t="s">
        <v>708</v>
      </c>
      <c r="D55" s="14">
        <v>22</v>
      </c>
      <c r="E55" s="14">
        <v>0</v>
      </c>
      <c r="F55" s="14">
        <v>0</v>
      </c>
      <c r="G55" s="58" t="s">
        <v>634</v>
      </c>
      <c r="H55" s="107"/>
      <c r="I55" s="112"/>
      <c r="J55" s="107">
        <v>2188586.14</v>
      </c>
      <c r="K55" s="112">
        <v>0</v>
      </c>
      <c r="L55" s="107">
        <v>0</v>
      </c>
      <c r="M55" s="112">
        <v>0</v>
      </c>
      <c r="N55" s="107">
        <v>0</v>
      </c>
      <c r="O55" s="112">
        <v>0</v>
      </c>
      <c r="P55" s="107">
        <v>0</v>
      </c>
      <c r="Q55" s="112">
        <v>2188586.14</v>
      </c>
      <c r="R55" s="107">
        <v>267</v>
      </c>
      <c r="S55" s="112">
        <v>38103.229676136369</v>
      </c>
      <c r="T55" s="107">
        <v>0</v>
      </c>
      <c r="U55" s="112">
        <v>0</v>
      </c>
      <c r="V55" s="107">
        <v>0</v>
      </c>
      <c r="W55" s="112">
        <v>0</v>
      </c>
      <c r="X55" s="107">
        <v>0</v>
      </c>
      <c r="Y55" s="112">
        <v>0</v>
      </c>
      <c r="Z55" s="107">
        <v>38103.229676136369</v>
      </c>
      <c r="AA55" s="112">
        <v>2150482.9103238638</v>
      </c>
      <c r="AB55" s="107">
        <v>17.089676136150956</v>
      </c>
      <c r="AC55" s="112">
        <v>2150500</v>
      </c>
      <c r="AD55" s="28" t="s">
        <v>102</v>
      </c>
      <c r="AE55" s="68" t="s">
        <v>656</v>
      </c>
      <c r="AF55" s="16" t="s">
        <v>606</v>
      </c>
      <c r="AG55" s="4" t="b">
        <f t="shared" si="0"/>
        <v>1</v>
      </c>
    </row>
    <row r="56" spans="1:37" x14ac:dyDescent="0.2">
      <c r="A56" s="14">
        <v>48</v>
      </c>
      <c r="B56" s="28" t="s">
        <v>599</v>
      </c>
      <c r="C56" s="14" t="s">
        <v>709</v>
      </c>
      <c r="D56" s="14">
        <v>22</v>
      </c>
      <c r="E56" s="14">
        <v>0</v>
      </c>
      <c r="F56" s="14">
        <v>0</v>
      </c>
      <c r="G56" s="58" t="s">
        <v>635</v>
      </c>
      <c r="H56" s="107"/>
      <c r="I56" s="112"/>
      <c r="J56" s="107">
        <v>2188586.14</v>
      </c>
      <c r="K56" s="112">
        <v>0</v>
      </c>
      <c r="L56" s="107">
        <v>0</v>
      </c>
      <c r="M56" s="112">
        <v>129449.89612159092</v>
      </c>
      <c r="N56" s="107">
        <v>0</v>
      </c>
      <c r="O56" s="112">
        <v>0</v>
      </c>
      <c r="P56" s="107">
        <v>0</v>
      </c>
      <c r="Q56" s="112">
        <v>2318036.036121591</v>
      </c>
      <c r="R56" s="107">
        <v>166</v>
      </c>
      <c r="S56" s="112">
        <v>23689.648412878792</v>
      </c>
      <c r="T56" s="107">
        <v>0</v>
      </c>
      <c r="U56" s="112">
        <v>0</v>
      </c>
      <c r="V56" s="107">
        <v>0</v>
      </c>
      <c r="W56" s="112">
        <v>0</v>
      </c>
      <c r="X56" s="107">
        <v>0</v>
      </c>
      <c r="Y56" s="112">
        <v>0</v>
      </c>
      <c r="Z56" s="107">
        <v>23689.648412878792</v>
      </c>
      <c r="AA56" s="112">
        <v>2294346.3877087124</v>
      </c>
      <c r="AB56" s="107">
        <v>53.612291287630796</v>
      </c>
      <c r="AC56" s="112">
        <v>2294400</v>
      </c>
      <c r="AD56" s="28" t="s">
        <v>104</v>
      </c>
      <c r="AE56" s="68" t="s">
        <v>600</v>
      </c>
      <c r="AF56" s="16" t="s">
        <v>599</v>
      </c>
      <c r="AG56" s="4" t="b">
        <f t="shared" si="0"/>
        <v>1</v>
      </c>
    </row>
    <row r="57" spans="1:37" x14ac:dyDescent="0.2">
      <c r="A57" s="14">
        <v>49</v>
      </c>
      <c r="B57" s="28" t="s">
        <v>607</v>
      </c>
      <c r="C57" s="14" t="s">
        <v>809</v>
      </c>
      <c r="D57" s="14">
        <v>22</v>
      </c>
      <c r="E57" s="14">
        <v>0</v>
      </c>
      <c r="F57" s="14">
        <v>0</v>
      </c>
      <c r="G57" s="58" t="s">
        <v>653</v>
      </c>
      <c r="H57" s="107"/>
      <c r="I57" s="112"/>
      <c r="J57" s="107">
        <v>2188586.14</v>
      </c>
      <c r="K57" s="112">
        <v>0</v>
      </c>
      <c r="L57" s="107">
        <v>0</v>
      </c>
      <c r="M57" s="112">
        <v>69263.775386363646</v>
      </c>
      <c r="N57" s="107">
        <v>0</v>
      </c>
      <c r="O57" s="112">
        <v>0</v>
      </c>
      <c r="P57" s="107">
        <v>0</v>
      </c>
      <c r="Q57" s="112">
        <v>2257849.9153863639</v>
      </c>
      <c r="R57" s="107">
        <v>0</v>
      </c>
      <c r="S57" s="112">
        <v>0</v>
      </c>
      <c r="T57" s="107">
        <v>0</v>
      </c>
      <c r="U57" s="112">
        <v>0</v>
      </c>
      <c r="V57" s="107">
        <v>0</v>
      </c>
      <c r="W57" s="112">
        <v>0</v>
      </c>
      <c r="X57" s="107">
        <v>0</v>
      </c>
      <c r="Y57" s="112">
        <v>0</v>
      </c>
      <c r="Z57" s="107">
        <v>0</v>
      </c>
      <c r="AA57" s="112">
        <v>2257849.9153863639</v>
      </c>
      <c r="AB57" s="107">
        <v>50.084613636136055</v>
      </c>
      <c r="AC57" s="112">
        <v>2257900</v>
      </c>
      <c r="AD57" s="28" t="s">
        <v>106</v>
      </c>
      <c r="AE57" s="68" t="s">
        <v>817</v>
      </c>
      <c r="AF57" s="16" t="s">
        <v>607</v>
      </c>
      <c r="AG57" s="4" t="b">
        <f t="shared" si="0"/>
        <v>1</v>
      </c>
    </row>
    <row r="58" spans="1:37" x14ac:dyDescent="0.2">
      <c r="A58" s="14">
        <v>50</v>
      </c>
      <c r="B58" s="28" t="s">
        <v>613</v>
      </c>
      <c r="C58" s="14" t="s">
        <v>829</v>
      </c>
      <c r="D58" s="14">
        <v>22</v>
      </c>
      <c r="E58" s="14">
        <v>0</v>
      </c>
      <c r="F58" s="14">
        <v>0</v>
      </c>
      <c r="G58" s="58" t="s">
        <v>622</v>
      </c>
      <c r="H58" s="107"/>
      <c r="I58" s="112"/>
      <c r="J58" s="107">
        <v>2188586.14</v>
      </c>
      <c r="K58" s="112">
        <v>0</v>
      </c>
      <c r="L58" s="107">
        <v>0</v>
      </c>
      <c r="M58" s="112">
        <v>287624.98533068178</v>
      </c>
      <c r="N58" s="107">
        <v>0</v>
      </c>
      <c r="O58" s="112">
        <v>0</v>
      </c>
      <c r="P58" s="107">
        <v>0</v>
      </c>
      <c r="Q58" s="112">
        <v>2476211.1253306819</v>
      </c>
      <c r="R58" s="107">
        <v>47</v>
      </c>
      <c r="S58" s="112">
        <v>6707.3100928030308</v>
      </c>
      <c r="T58" s="107">
        <v>0</v>
      </c>
      <c r="U58" s="112">
        <v>0</v>
      </c>
      <c r="V58" s="107">
        <v>0</v>
      </c>
      <c r="W58" s="112">
        <v>0</v>
      </c>
      <c r="X58" s="107">
        <v>0</v>
      </c>
      <c r="Y58" s="112">
        <v>0</v>
      </c>
      <c r="Z58" s="107">
        <v>6707.3100928030308</v>
      </c>
      <c r="AA58" s="112">
        <v>2469503.8152378788</v>
      </c>
      <c r="AB58" s="107">
        <v>96.18476212117821</v>
      </c>
      <c r="AC58" s="112">
        <v>2469600</v>
      </c>
      <c r="AD58" s="28" t="s">
        <v>108</v>
      </c>
      <c r="AE58" s="68" t="s">
        <v>813</v>
      </c>
      <c r="AF58" s="16" t="s">
        <v>613</v>
      </c>
      <c r="AG58" s="4" t="b">
        <f t="shared" si="0"/>
        <v>1</v>
      </c>
    </row>
    <row r="59" spans="1:37" x14ac:dyDescent="0.2">
      <c r="A59" s="14">
        <v>51</v>
      </c>
      <c r="B59" s="28" t="s">
        <v>819</v>
      </c>
      <c r="C59" s="14" t="s">
        <v>826</v>
      </c>
      <c r="D59" s="14">
        <v>22</v>
      </c>
      <c r="E59" s="14">
        <v>0</v>
      </c>
      <c r="F59" s="14">
        <v>0</v>
      </c>
      <c r="G59" s="58" t="s">
        <v>821</v>
      </c>
      <c r="H59" s="107"/>
      <c r="I59" s="112"/>
      <c r="J59" s="107">
        <v>2188586.14</v>
      </c>
      <c r="K59" s="112">
        <v>0</v>
      </c>
      <c r="L59" s="107">
        <v>0</v>
      </c>
      <c r="M59" s="112">
        <v>201698.10903863635</v>
      </c>
      <c r="N59" s="107">
        <v>0</v>
      </c>
      <c r="O59" s="112">
        <v>0</v>
      </c>
      <c r="P59" s="107">
        <v>0</v>
      </c>
      <c r="Q59" s="112">
        <v>2390284.2490386367</v>
      </c>
      <c r="R59" s="107">
        <v>5</v>
      </c>
      <c r="S59" s="112">
        <v>713.54362689393952</v>
      </c>
      <c r="T59" s="107">
        <v>0</v>
      </c>
      <c r="U59" s="112">
        <v>0</v>
      </c>
      <c r="V59" s="107">
        <v>0</v>
      </c>
      <c r="W59" s="112">
        <v>0</v>
      </c>
      <c r="X59" s="107">
        <v>0</v>
      </c>
      <c r="Y59" s="112">
        <v>0</v>
      </c>
      <c r="Z59" s="107">
        <v>713.54362689393952</v>
      </c>
      <c r="AA59" s="112">
        <v>2389570.7054117429</v>
      </c>
      <c r="AB59" s="107">
        <v>29.294588257092983</v>
      </c>
      <c r="AC59" s="112">
        <v>2389600</v>
      </c>
      <c r="AD59" s="28" t="s">
        <v>110</v>
      </c>
      <c r="AE59" s="68" t="s">
        <v>822</v>
      </c>
      <c r="AF59" s="16" t="s">
        <v>819</v>
      </c>
      <c r="AG59" s="4" t="b">
        <f t="shared" si="0"/>
        <v>1</v>
      </c>
    </row>
    <row r="60" spans="1:37" x14ac:dyDescent="0.2">
      <c r="A60" s="14">
        <v>52</v>
      </c>
      <c r="B60" s="28" t="s">
        <v>827</v>
      </c>
      <c r="C60" s="14" t="s">
        <v>881</v>
      </c>
      <c r="D60" s="14">
        <v>22</v>
      </c>
      <c r="E60" s="14">
        <v>0</v>
      </c>
      <c r="F60" s="14">
        <v>0</v>
      </c>
      <c r="G60" s="58" t="s">
        <v>626</v>
      </c>
      <c r="H60" s="107"/>
      <c r="I60" s="112"/>
      <c r="J60" s="107">
        <v>2059845.78</v>
      </c>
      <c r="K60" s="112">
        <v>0</v>
      </c>
      <c r="L60" s="107">
        <v>0</v>
      </c>
      <c r="M60" s="112">
        <v>0</v>
      </c>
      <c r="N60" s="107">
        <v>0</v>
      </c>
      <c r="O60" s="112">
        <v>0</v>
      </c>
      <c r="P60" s="107">
        <v>0</v>
      </c>
      <c r="Q60" s="112">
        <v>2059845.78</v>
      </c>
      <c r="R60" s="107">
        <v>2</v>
      </c>
      <c r="S60" s="112">
        <v>261.03480681818183</v>
      </c>
      <c r="T60" s="107">
        <v>0</v>
      </c>
      <c r="U60" s="112">
        <v>0</v>
      </c>
      <c r="V60" s="107">
        <v>0</v>
      </c>
      <c r="W60" s="112">
        <v>0</v>
      </c>
      <c r="X60" s="107">
        <v>0</v>
      </c>
      <c r="Y60" s="112">
        <v>0</v>
      </c>
      <c r="Z60" s="107">
        <v>261.03480681818183</v>
      </c>
      <c r="AA60" s="112">
        <v>2059584.7451931818</v>
      </c>
      <c r="AB60" s="107">
        <v>15.254806818207726</v>
      </c>
      <c r="AC60" s="112">
        <v>2059600</v>
      </c>
      <c r="AD60" s="28" t="s">
        <v>113</v>
      </c>
      <c r="AE60" s="68" t="s">
        <v>868</v>
      </c>
      <c r="AF60" s="16" t="s">
        <v>827</v>
      </c>
      <c r="AG60" s="4" t="b">
        <f t="shared" si="0"/>
        <v>1</v>
      </c>
    </row>
    <row r="61" spans="1:37" x14ac:dyDescent="0.2">
      <c r="A61" s="14">
        <v>53</v>
      </c>
      <c r="B61" s="28" t="s">
        <v>610</v>
      </c>
      <c r="C61" s="14" t="s">
        <v>828</v>
      </c>
      <c r="D61" s="14">
        <v>22</v>
      </c>
      <c r="E61" s="14">
        <v>0</v>
      </c>
      <c r="F61" s="14">
        <v>0</v>
      </c>
      <c r="G61" s="58" t="s">
        <v>626</v>
      </c>
      <c r="H61" s="107"/>
      <c r="I61" s="112"/>
      <c r="J61" s="107">
        <v>2059845.78</v>
      </c>
      <c r="K61" s="112">
        <v>0</v>
      </c>
      <c r="L61" s="107">
        <v>0</v>
      </c>
      <c r="M61" s="112">
        <v>148987.14624999999</v>
      </c>
      <c r="N61" s="107">
        <v>0</v>
      </c>
      <c r="O61" s="112">
        <v>0</v>
      </c>
      <c r="P61" s="107">
        <v>0</v>
      </c>
      <c r="Q61" s="112">
        <v>2208832.92625</v>
      </c>
      <c r="R61" s="107">
        <v>5</v>
      </c>
      <c r="S61" s="112">
        <v>652.58701704545456</v>
      </c>
      <c r="T61" s="107">
        <v>0</v>
      </c>
      <c r="U61" s="112">
        <v>0</v>
      </c>
      <c r="V61" s="107">
        <v>0</v>
      </c>
      <c r="W61" s="112">
        <v>0</v>
      </c>
      <c r="X61" s="107">
        <v>0</v>
      </c>
      <c r="Y61" s="112">
        <v>0</v>
      </c>
      <c r="Z61" s="107">
        <v>652.58701704545456</v>
      </c>
      <c r="AA61" s="112">
        <v>2208180.3392329547</v>
      </c>
      <c r="AB61" s="107">
        <v>19.660767045337707</v>
      </c>
      <c r="AC61" s="112">
        <v>2208200</v>
      </c>
      <c r="AD61" s="28" t="s">
        <v>115</v>
      </c>
      <c r="AE61" s="68" t="s">
        <v>815</v>
      </c>
      <c r="AF61" s="16" t="s">
        <v>610</v>
      </c>
      <c r="AG61" s="4" t="b">
        <f t="shared" si="0"/>
        <v>1</v>
      </c>
    </row>
    <row r="62" spans="1:37" x14ac:dyDescent="0.2">
      <c r="A62" s="14">
        <v>54</v>
      </c>
      <c r="B62" s="28" t="s">
        <v>820</v>
      </c>
      <c r="C62" s="14" t="s">
        <v>836</v>
      </c>
      <c r="D62" s="14">
        <v>22</v>
      </c>
      <c r="E62" s="14">
        <v>0</v>
      </c>
      <c r="F62" s="14">
        <v>0</v>
      </c>
      <c r="G62" s="58" t="s">
        <v>617</v>
      </c>
      <c r="H62" s="107"/>
      <c r="I62" s="112"/>
      <c r="J62" s="107">
        <v>2059845.78</v>
      </c>
      <c r="K62" s="112">
        <v>0</v>
      </c>
      <c r="L62" s="107">
        <v>0</v>
      </c>
      <c r="M62" s="112">
        <v>0</v>
      </c>
      <c r="N62" s="107">
        <v>0</v>
      </c>
      <c r="O62" s="112">
        <v>0</v>
      </c>
      <c r="P62" s="107">
        <v>0</v>
      </c>
      <c r="Q62" s="112">
        <v>2059845.78</v>
      </c>
      <c r="R62" s="107">
        <v>353</v>
      </c>
      <c r="S62" s="112">
        <v>50376.180058712118</v>
      </c>
      <c r="T62" s="107">
        <v>0</v>
      </c>
      <c r="U62" s="112">
        <v>0</v>
      </c>
      <c r="V62" s="107">
        <v>0</v>
      </c>
      <c r="W62" s="112">
        <v>0</v>
      </c>
      <c r="X62" s="107">
        <v>0</v>
      </c>
      <c r="Y62" s="112">
        <v>0</v>
      </c>
      <c r="Z62" s="107">
        <v>50376.180058712118</v>
      </c>
      <c r="AA62" s="112">
        <v>2009469.5999412879</v>
      </c>
      <c r="AB62" s="107">
        <v>30.400058712111786</v>
      </c>
      <c r="AC62" s="112">
        <v>2009500</v>
      </c>
      <c r="AD62" s="28" t="s">
        <v>117</v>
      </c>
      <c r="AE62" s="68" t="s">
        <v>823</v>
      </c>
      <c r="AF62" s="16" t="s">
        <v>820</v>
      </c>
      <c r="AG62" s="4" t="b">
        <f t="shared" si="0"/>
        <v>1</v>
      </c>
    </row>
    <row r="63" spans="1:37" x14ac:dyDescent="0.2">
      <c r="A63" s="14">
        <v>55</v>
      </c>
      <c r="B63" s="28" t="s">
        <v>847</v>
      </c>
      <c r="C63" s="14" t="s">
        <v>883</v>
      </c>
      <c r="D63" s="14">
        <v>22</v>
      </c>
      <c r="E63" s="14">
        <v>0</v>
      </c>
      <c r="F63" s="14">
        <v>0</v>
      </c>
      <c r="G63" s="58" t="s">
        <v>626</v>
      </c>
      <c r="H63" s="107"/>
      <c r="I63" s="112"/>
      <c r="J63" s="107">
        <v>2059845.78</v>
      </c>
      <c r="K63" s="112">
        <v>0</v>
      </c>
      <c r="L63" s="107">
        <v>0</v>
      </c>
      <c r="M63" s="112">
        <v>89883.839999999997</v>
      </c>
      <c r="N63" s="107">
        <v>0</v>
      </c>
      <c r="O63" s="112">
        <v>0</v>
      </c>
      <c r="P63" s="107">
        <v>0</v>
      </c>
      <c r="Q63" s="112">
        <v>2149729.62</v>
      </c>
      <c r="R63" s="107">
        <v>2</v>
      </c>
      <c r="S63" s="112">
        <v>261.03480681818183</v>
      </c>
      <c r="T63" s="107">
        <v>0</v>
      </c>
      <c r="U63" s="112">
        <v>0</v>
      </c>
      <c r="V63" s="107">
        <v>0</v>
      </c>
      <c r="W63" s="112">
        <v>0</v>
      </c>
      <c r="X63" s="107">
        <v>0</v>
      </c>
      <c r="Y63" s="112">
        <v>0</v>
      </c>
      <c r="Z63" s="107">
        <v>261.03480681818183</v>
      </c>
      <c r="AA63" s="112">
        <v>2149468.5851931819</v>
      </c>
      <c r="AB63" s="107">
        <v>31.414806818123907</v>
      </c>
      <c r="AC63" s="112">
        <v>2149500</v>
      </c>
      <c r="AD63" s="28" t="s">
        <v>119</v>
      </c>
      <c r="AE63" s="68" t="s">
        <v>869</v>
      </c>
      <c r="AF63" s="16" t="s">
        <v>847</v>
      </c>
      <c r="AG63" s="4" t="b">
        <f t="shared" si="0"/>
        <v>1</v>
      </c>
      <c r="AJ63" s="68" t="s">
        <v>818</v>
      </c>
      <c r="AK63" s="16" t="s">
        <v>611</v>
      </c>
    </row>
    <row r="64" spans="1:37" x14ac:dyDescent="0.2">
      <c r="A64" s="14">
        <v>56</v>
      </c>
      <c r="B64" s="28" t="s">
        <v>841</v>
      </c>
      <c r="C64" s="14" t="s">
        <v>884</v>
      </c>
      <c r="D64" s="14">
        <v>22</v>
      </c>
      <c r="E64" s="14">
        <v>0</v>
      </c>
      <c r="F64" s="14">
        <v>0</v>
      </c>
      <c r="G64" s="58" t="s">
        <v>617</v>
      </c>
      <c r="H64" s="107"/>
      <c r="I64" s="112"/>
      <c r="J64" s="107">
        <v>2059845.78</v>
      </c>
      <c r="K64" s="112">
        <v>0</v>
      </c>
      <c r="L64" s="107">
        <v>0</v>
      </c>
      <c r="M64" s="112">
        <v>0</v>
      </c>
      <c r="N64" s="107">
        <v>0</v>
      </c>
      <c r="O64" s="112">
        <v>0</v>
      </c>
      <c r="P64" s="107">
        <v>0</v>
      </c>
      <c r="Q64" s="112">
        <v>2059845.78</v>
      </c>
      <c r="R64" s="107">
        <v>13</v>
      </c>
      <c r="S64" s="112">
        <v>1696.7262443181817</v>
      </c>
      <c r="T64" s="107">
        <v>0</v>
      </c>
      <c r="U64" s="112">
        <v>0</v>
      </c>
      <c r="V64" s="107">
        <v>0</v>
      </c>
      <c r="W64" s="112">
        <v>0</v>
      </c>
      <c r="X64" s="107">
        <v>0</v>
      </c>
      <c r="Y64" s="112">
        <v>0</v>
      </c>
      <c r="Z64" s="107">
        <v>1696.7262443181817</v>
      </c>
      <c r="AA64" s="112">
        <v>2058149.053755682</v>
      </c>
      <c r="AB64" s="107">
        <v>50.946244318038225</v>
      </c>
      <c r="AC64" s="112">
        <v>2058200</v>
      </c>
      <c r="AD64" s="28" t="s">
        <v>121</v>
      </c>
      <c r="AE64" s="68" t="s">
        <v>870</v>
      </c>
      <c r="AF64" s="16" t="s">
        <v>841</v>
      </c>
      <c r="AG64" s="4" t="b">
        <f t="shared" si="0"/>
        <v>1</v>
      </c>
    </row>
    <row r="65" spans="1:33" x14ac:dyDescent="0.2">
      <c r="A65" s="14">
        <v>57</v>
      </c>
      <c r="B65" s="28" t="s">
        <v>848</v>
      </c>
      <c r="C65" s="14" t="s">
        <v>885</v>
      </c>
      <c r="D65" s="14">
        <v>22</v>
      </c>
      <c r="E65" s="14">
        <v>0</v>
      </c>
      <c r="F65" s="14">
        <v>0</v>
      </c>
      <c r="G65" s="58" t="s">
        <v>621</v>
      </c>
      <c r="H65" s="107"/>
      <c r="I65" s="112"/>
      <c r="J65" s="107">
        <v>2059845.78</v>
      </c>
      <c r="K65" s="112">
        <v>0</v>
      </c>
      <c r="L65" s="107">
        <v>0</v>
      </c>
      <c r="M65" s="112">
        <v>35111.007613636364</v>
      </c>
      <c r="N65" s="107">
        <v>0</v>
      </c>
      <c r="O65" s="112">
        <v>0</v>
      </c>
      <c r="P65" s="107">
        <v>0</v>
      </c>
      <c r="Q65" s="112">
        <v>2094956.7876136363</v>
      </c>
      <c r="R65" s="107">
        <v>9</v>
      </c>
      <c r="S65" s="112">
        <v>1174.6566306818181</v>
      </c>
      <c r="T65" s="107">
        <v>0</v>
      </c>
      <c r="U65" s="112">
        <v>0</v>
      </c>
      <c r="V65" s="107">
        <v>0</v>
      </c>
      <c r="W65" s="112">
        <v>0</v>
      </c>
      <c r="X65" s="107">
        <v>0</v>
      </c>
      <c r="Y65" s="112">
        <v>0</v>
      </c>
      <c r="Z65" s="107">
        <v>1174.6566306818181</v>
      </c>
      <c r="AA65" s="112">
        <v>2093782.1309829545</v>
      </c>
      <c r="AB65" s="107">
        <v>17.869017045479268</v>
      </c>
      <c r="AC65" s="112">
        <v>2093800</v>
      </c>
      <c r="AD65" s="28" t="s">
        <v>123</v>
      </c>
      <c r="AE65" s="68" t="s">
        <v>871</v>
      </c>
      <c r="AF65" s="16" t="s">
        <v>848</v>
      </c>
      <c r="AG65" s="4" t="b">
        <f t="shared" si="0"/>
        <v>1</v>
      </c>
    </row>
    <row r="66" spans="1:33" x14ac:dyDescent="0.2">
      <c r="A66" s="14">
        <v>58</v>
      </c>
      <c r="B66" s="28" t="s">
        <v>849</v>
      </c>
      <c r="C66" s="14" t="s">
        <v>886</v>
      </c>
      <c r="D66" s="14">
        <v>22</v>
      </c>
      <c r="E66" s="14">
        <v>0</v>
      </c>
      <c r="F66" s="14">
        <v>0</v>
      </c>
      <c r="G66" s="28" t="s">
        <v>631</v>
      </c>
      <c r="H66" s="107"/>
      <c r="I66" s="112"/>
      <c r="J66" s="107">
        <v>2059845.78</v>
      </c>
      <c r="K66" s="112">
        <v>0</v>
      </c>
      <c r="L66" s="107">
        <v>0</v>
      </c>
      <c r="M66" s="112">
        <v>21066.604568181825</v>
      </c>
      <c r="N66" s="107">
        <v>0</v>
      </c>
      <c r="O66" s="112">
        <v>0</v>
      </c>
      <c r="P66" s="107">
        <v>0</v>
      </c>
      <c r="Q66" s="112">
        <v>2080912.3845681818</v>
      </c>
      <c r="R66" s="107">
        <v>40</v>
      </c>
      <c r="S66" s="112">
        <v>5220.6961363636365</v>
      </c>
      <c r="T66" s="107">
        <v>0</v>
      </c>
      <c r="U66" s="112">
        <v>0</v>
      </c>
      <c r="V66" s="107">
        <v>0</v>
      </c>
      <c r="W66" s="112">
        <v>0</v>
      </c>
      <c r="X66" s="107">
        <v>0</v>
      </c>
      <c r="Y66" s="112">
        <v>0</v>
      </c>
      <c r="Z66" s="107">
        <v>5220.6961363636365</v>
      </c>
      <c r="AA66" s="112">
        <v>2075691.6884318183</v>
      </c>
      <c r="AB66" s="107">
        <v>8.3115681817289442</v>
      </c>
      <c r="AC66" s="112">
        <v>2075700</v>
      </c>
      <c r="AD66" s="28" t="s">
        <v>94</v>
      </c>
      <c r="AE66" s="68" t="s">
        <v>872</v>
      </c>
      <c r="AF66" s="16" t="s">
        <v>849</v>
      </c>
      <c r="AG66" s="4" t="b">
        <f t="shared" si="0"/>
        <v>1</v>
      </c>
    </row>
    <row r="67" spans="1:33" x14ac:dyDescent="0.2">
      <c r="A67" s="14">
        <v>59</v>
      </c>
      <c r="B67" s="28" t="s">
        <v>831</v>
      </c>
      <c r="C67" s="14" t="s">
        <v>837</v>
      </c>
      <c r="D67" s="14">
        <v>22</v>
      </c>
      <c r="E67" s="14">
        <v>0</v>
      </c>
      <c r="F67" s="14">
        <v>0</v>
      </c>
      <c r="G67" s="58" t="s">
        <v>833</v>
      </c>
      <c r="H67" s="107"/>
      <c r="I67" s="112"/>
      <c r="J67" s="107">
        <v>2059845.78</v>
      </c>
      <c r="K67" s="112">
        <v>0</v>
      </c>
      <c r="L67" s="107">
        <v>0</v>
      </c>
      <c r="M67" s="112">
        <v>146764.01182499999</v>
      </c>
      <c r="N67" s="107">
        <v>0</v>
      </c>
      <c r="O67" s="112">
        <v>0</v>
      </c>
      <c r="P67" s="107">
        <v>0</v>
      </c>
      <c r="Q67" s="112">
        <v>2206609.7918250002</v>
      </c>
      <c r="R67" s="107">
        <v>0</v>
      </c>
      <c r="S67" s="112">
        <v>0</v>
      </c>
      <c r="T67" s="107">
        <v>0</v>
      </c>
      <c r="U67" s="112">
        <v>0</v>
      </c>
      <c r="V67" s="107">
        <v>0</v>
      </c>
      <c r="W67" s="112">
        <v>0</v>
      </c>
      <c r="X67" s="107">
        <v>0</v>
      </c>
      <c r="Y67" s="112">
        <v>0</v>
      </c>
      <c r="Z67" s="107">
        <v>0</v>
      </c>
      <c r="AA67" s="112">
        <v>2206609.7918250002</v>
      </c>
      <c r="AB67" s="107">
        <v>90.208174999803305</v>
      </c>
      <c r="AC67" s="112">
        <v>2206700</v>
      </c>
      <c r="AD67" s="28" t="s">
        <v>126</v>
      </c>
      <c r="AE67" s="68" t="s">
        <v>834</v>
      </c>
      <c r="AF67" s="16" t="s">
        <v>831</v>
      </c>
      <c r="AG67" s="4" t="b">
        <f t="shared" si="0"/>
        <v>1</v>
      </c>
    </row>
    <row r="68" spans="1:33" x14ac:dyDescent="0.2">
      <c r="A68" s="14">
        <v>60</v>
      </c>
      <c r="B68" s="28" t="s">
        <v>850</v>
      </c>
      <c r="C68" s="14" t="s">
        <v>887</v>
      </c>
      <c r="D68" s="14">
        <v>22</v>
      </c>
      <c r="E68" s="14">
        <v>0</v>
      </c>
      <c r="F68" s="14">
        <v>0</v>
      </c>
      <c r="G68" s="58" t="s">
        <v>614</v>
      </c>
      <c r="H68" s="107"/>
      <c r="I68" s="112"/>
      <c r="J68" s="107">
        <v>2059845.78</v>
      </c>
      <c r="K68" s="112">
        <v>0</v>
      </c>
      <c r="L68" s="107">
        <v>0</v>
      </c>
      <c r="M68" s="112">
        <v>0</v>
      </c>
      <c r="N68" s="107">
        <v>0</v>
      </c>
      <c r="O68" s="112">
        <v>0</v>
      </c>
      <c r="P68" s="107">
        <v>0</v>
      </c>
      <c r="Q68" s="112">
        <v>2059845.78</v>
      </c>
      <c r="R68" s="107">
        <v>14</v>
      </c>
      <c r="S68" s="112">
        <v>1827.2436477272729</v>
      </c>
      <c r="T68" s="107">
        <v>0</v>
      </c>
      <c r="U68" s="112">
        <v>0</v>
      </c>
      <c r="V68" s="107">
        <v>0</v>
      </c>
      <c r="W68" s="112">
        <v>0</v>
      </c>
      <c r="X68" s="107">
        <v>0</v>
      </c>
      <c r="Y68" s="112">
        <v>0</v>
      </c>
      <c r="Z68" s="107">
        <v>1827.2436477272729</v>
      </c>
      <c r="AA68" s="112">
        <v>2058018.5363522728</v>
      </c>
      <c r="AB68" s="107">
        <v>81.463647727156058</v>
      </c>
      <c r="AC68" s="112">
        <v>2058100</v>
      </c>
      <c r="AD68" s="28" t="s">
        <v>128</v>
      </c>
      <c r="AE68" s="68" t="s">
        <v>873</v>
      </c>
      <c r="AF68" s="16" t="s">
        <v>850</v>
      </c>
      <c r="AG68" s="4" t="b">
        <f t="shared" si="0"/>
        <v>1</v>
      </c>
    </row>
    <row r="69" spans="1:33" x14ac:dyDescent="0.2">
      <c r="A69" s="14">
        <v>61</v>
      </c>
      <c r="B69" s="28" t="s">
        <v>832</v>
      </c>
      <c r="C69" s="14" t="s">
        <v>838</v>
      </c>
      <c r="D69" s="14">
        <v>20</v>
      </c>
      <c r="E69" s="14">
        <v>0</v>
      </c>
      <c r="F69" s="14">
        <v>0</v>
      </c>
      <c r="G69" s="58" t="s">
        <v>620</v>
      </c>
      <c r="H69" s="107"/>
      <c r="I69" s="112"/>
      <c r="J69" s="107">
        <v>2727272.7272727271</v>
      </c>
      <c r="K69" s="112">
        <v>0</v>
      </c>
      <c r="L69" s="107">
        <v>0</v>
      </c>
      <c r="M69" s="112">
        <v>0</v>
      </c>
      <c r="N69" s="107">
        <v>0</v>
      </c>
      <c r="O69" s="112">
        <v>0</v>
      </c>
      <c r="P69" s="107">
        <v>0</v>
      </c>
      <c r="Q69" s="112">
        <v>2727272.7272727271</v>
      </c>
      <c r="R69" s="107">
        <v>0</v>
      </c>
      <c r="S69" s="112">
        <v>0</v>
      </c>
      <c r="T69" s="107">
        <v>0</v>
      </c>
      <c r="U69" s="112">
        <v>0</v>
      </c>
      <c r="V69" s="107">
        <v>0</v>
      </c>
      <c r="W69" s="112">
        <v>0</v>
      </c>
      <c r="X69" s="107">
        <v>0</v>
      </c>
      <c r="Y69" s="112">
        <v>0</v>
      </c>
      <c r="Z69" s="107">
        <v>0</v>
      </c>
      <c r="AA69" s="112">
        <v>2727272.7272727271</v>
      </c>
      <c r="AB69" s="107">
        <v>27.272727272938937</v>
      </c>
      <c r="AC69" s="112">
        <v>2727300</v>
      </c>
      <c r="AD69" s="28" t="s">
        <v>130</v>
      </c>
      <c r="AE69" s="68" t="s">
        <v>835</v>
      </c>
      <c r="AF69" s="16" t="s">
        <v>832</v>
      </c>
      <c r="AG69" s="4" t="b">
        <f t="shared" si="0"/>
        <v>1</v>
      </c>
    </row>
    <row r="70" spans="1:33" x14ac:dyDescent="0.2">
      <c r="A70" s="14">
        <v>62</v>
      </c>
      <c r="B70" s="28" t="s">
        <v>851</v>
      </c>
      <c r="C70" s="14" t="s">
        <v>888</v>
      </c>
      <c r="D70" s="14">
        <v>22</v>
      </c>
      <c r="E70" s="14">
        <v>0</v>
      </c>
      <c r="F70" s="14">
        <v>0</v>
      </c>
      <c r="G70" s="58" t="s">
        <v>866</v>
      </c>
      <c r="H70" s="107"/>
      <c r="I70" s="112"/>
      <c r="J70" s="107">
        <v>3000000</v>
      </c>
      <c r="K70" s="112">
        <v>0</v>
      </c>
      <c r="L70" s="107">
        <v>0</v>
      </c>
      <c r="M70" s="112">
        <v>0</v>
      </c>
      <c r="N70" s="107">
        <v>0</v>
      </c>
      <c r="O70" s="112">
        <v>0</v>
      </c>
      <c r="P70" s="107">
        <v>1090909.0909090908</v>
      </c>
      <c r="Q70" s="112">
        <v>4090909.0909090908</v>
      </c>
      <c r="R70" s="107">
        <v>0</v>
      </c>
      <c r="S70" s="112">
        <v>0</v>
      </c>
      <c r="T70" s="107">
        <v>0</v>
      </c>
      <c r="U70" s="112">
        <v>0</v>
      </c>
      <c r="V70" s="107">
        <v>0</v>
      </c>
      <c r="W70" s="112">
        <v>0</v>
      </c>
      <c r="X70" s="107">
        <v>0</v>
      </c>
      <c r="Y70" s="112">
        <v>0</v>
      </c>
      <c r="Z70" s="107">
        <v>0</v>
      </c>
      <c r="AA70" s="112">
        <v>4090909.0909090908</v>
      </c>
      <c r="AB70" s="107">
        <v>90.909090909175575</v>
      </c>
      <c r="AC70" s="112">
        <v>4091000</v>
      </c>
      <c r="AD70" s="28" t="s">
        <v>132</v>
      </c>
      <c r="AE70" s="68" t="s">
        <v>874</v>
      </c>
      <c r="AF70" s="16" t="s">
        <v>851</v>
      </c>
      <c r="AG70" s="4" t="b">
        <f t="shared" si="0"/>
        <v>1</v>
      </c>
    </row>
    <row r="71" spans="1:33" x14ac:dyDescent="0.2">
      <c r="A71" s="14">
        <v>63</v>
      </c>
      <c r="B71" s="28" t="s">
        <v>852</v>
      </c>
      <c r="C71" s="14" t="s">
        <v>889</v>
      </c>
      <c r="D71" s="14">
        <v>22</v>
      </c>
      <c r="E71" s="14">
        <v>0</v>
      </c>
      <c r="F71" s="14">
        <v>0</v>
      </c>
      <c r="G71" s="58" t="s">
        <v>633</v>
      </c>
      <c r="H71" s="107"/>
      <c r="I71" s="112"/>
      <c r="J71" s="107">
        <v>2188586.14</v>
      </c>
      <c r="K71" s="112">
        <v>0</v>
      </c>
      <c r="L71" s="107">
        <v>0</v>
      </c>
      <c r="M71" s="112">
        <v>0</v>
      </c>
      <c r="N71" s="107">
        <v>0</v>
      </c>
      <c r="O71" s="112">
        <v>0</v>
      </c>
      <c r="P71" s="107">
        <v>0</v>
      </c>
      <c r="Q71" s="112">
        <v>2188586.14</v>
      </c>
      <c r="R71" s="107">
        <v>84</v>
      </c>
      <c r="S71" s="112">
        <v>11987.532931818181</v>
      </c>
      <c r="T71" s="107">
        <v>0</v>
      </c>
      <c r="U71" s="112">
        <v>0</v>
      </c>
      <c r="V71" s="107">
        <v>0</v>
      </c>
      <c r="W71" s="112">
        <v>0</v>
      </c>
      <c r="X71" s="107">
        <v>0</v>
      </c>
      <c r="Y71" s="112">
        <v>0</v>
      </c>
      <c r="Z71" s="107">
        <v>11987.532931818181</v>
      </c>
      <c r="AA71" s="112">
        <v>2176598.607068182</v>
      </c>
      <c r="AB71" s="107">
        <v>1.3929318180307746</v>
      </c>
      <c r="AC71" s="112">
        <v>2176600</v>
      </c>
      <c r="AD71" s="28" t="s">
        <v>134</v>
      </c>
      <c r="AE71" s="68" t="s">
        <v>875</v>
      </c>
      <c r="AF71" s="16" t="s">
        <v>852</v>
      </c>
      <c r="AG71" s="4" t="b">
        <f t="shared" si="0"/>
        <v>1</v>
      </c>
    </row>
    <row r="72" spans="1:33" x14ac:dyDescent="0.2">
      <c r="A72" s="14">
        <v>64</v>
      </c>
      <c r="B72" s="28" t="s">
        <v>916</v>
      </c>
      <c r="C72" s="14" t="s">
        <v>970</v>
      </c>
      <c r="D72" s="14">
        <v>22</v>
      </c>
      <c r="E72" s="14">
        <v>0</v>
      </c>
      <c r="F72" s="14">
        <v>0</v>
      </c>
      <c r="G72" s="58" t="s">
        <v>924</v>
      </c>
      <c r="H72" s="107"/>
      <c r="I72" s="112"/>
      <c r="J72" s="107">
        <v>2188586.14</v>
      </c>
      <c r="K72" s="112">
        <v>0</v>
      </c>
      <c r="L72" s="107">
        <v>0</v>
      </c>
      <c r="M72" s="112">
        <v>111916.125</v>
      </c>
      <c r="N72" s="107">
        <v>0</v>
      </c>
      <c r="O72" s="112">
        <v>0</v>
      </c>
      <c r="P72" s="107">
        <v>0</v>
      </c>
      <c r="Q72" s="112">
        <v>2300502.2650000001</v>
      </c>
      <c r="R72" s="107">
        <v>13</v>
      </c>
      <c r="S72" s="112">
        <v>1855.2134299242425</v>
      </c>
      <c r="T72" s="107">
        <v>0</v>
      </c>
      <c r="U72" s="112">
        <v>0</v>
      </c>
      <c r="V72" s="107">
        <v>0</v>
      </c>
      <c r="W72" s="112">
        <v>0</v>
      </c>
      <c r="X72" s="107">
        <v>0</v>
      </c>
      <c r="Y72" s="112">
        <v>0</v>
      </c>
      <c r="Z72" s="107">
        <v>1855.2134299242425</v>
      </c>
      <c r="AA72" s="112">
        <v>2298647.051570076</v>
      </c>
      <c r="AB72" s="107">
        <v>52.948429923970252</v>
      </c>
      <c r="AC72" s="112">
        <v>2298700</v>
      </c>
      <c r="AD72" s="28" t="s">
        <v>136</v>
      </c>
      <c r="AE72" s="68" t="s">
        <v>927</v>
      </c>
      <c r="AF72" s="16" t="s">
        <v>916</v>
      </c>
      <c r="AG72" s="4" t="b">
        <f t="shared" si="0"/>
        <v>1</v>
      </c>
    </row>
    <row r="73" spans="1:33" x14ac:dyDescent="0.2">
      <c r="A73" s="14">
        <v>65</v>
      </c>
      <c r="B73" s="28" t="s">
        <v>853</v>
      </c>
      <c r="C73" s="14" t="s">
        <v>890</v>
      </c>
      <c r="D73" s="14">
        <v>22</v>
      </c>
      <c r="E73" s="14">
        <v>0</v>
      </c>
      <c r="F73" s="14">
        <v>0</v>
      </c>
      <c r="G73" s="58" t="s">
        <v>640</v>
      </c>
      <c r="H73" s="107"/>
      <c r="I73" s="112"/>
      <c r="J73" s="107">
        <v>2188586.14</v>
      </c>
      <c r="K73" s="112">
        <v>0</v>
      </c>
      <c r="L73" s="107">
        <v>0</v>
      </c>
      <c r="M73" s="112">
        <v>0</v>
      </c>
      <c r="N73" s="107">
        <v>0</v>
      </c>
      <c r="O73" s="112">
        <v>0</v>
      </c>
      <c r="P73" s="107">
        <v>0</v>
      </c>
      <c r="Q73" s="112">
        <v>2188586.14</v>
      </c>
      <c r="R73" s="107">
        <v>0</v>
      </c>
      <c r="S73" s="112">
        <v>0</v>
      </c>
      <c r="T73" s="107">
        <v>0</v>
      </c>
      <c r="U73" s="112">
        <v>0</v>
      </c>
      <c r="V73" s="107">
        <v>0</v>
      </c>
      <c r="W73" s="112">
        <v>0</v>
      </c>
      <c r="X73" s="107">
        <v>0</v>
      </c>
      <c r="Y73" s="112">
        <v>0</v>
      </c>
      <c r="Z73" s="107">
        <v>0</v>
      </c>
      <c r="AA73" s="112">
        <v>2188586.14</v>
      </c>
      <c r="AB73" s="107">
        <v>13.859999999869615</v>
      </c>
      <c r="AC73" s="112">
        <v>2188600</v>
      </c>
      <c r="AD73" s="28" t="s">
        <v>138</v>
      </c>
      <c r="AE73" s="68" t="s">
        <v>876</v>
      </c>
      <c r="AF73" s="16" t="s">
        <v>853</v>
      </c>
      <c r="AG73" s="4" t="b">
        <f t="shared" si="0"/>
        <v>1</v>
      </c>
    </row>
    <row r="74" spans="1:33" x14ac:dyDescent="0.2">
      <c r="A74" s="14">
        <v>66</v>
      </c>
      <c r="B74" s="28" t="s">
        <v>854</v>
      </c>
      <c r="C74" s="14" t="s">
        <v>891</v>
      </c>
      <c r="D74" s="14">
        <v>22</v>
      </c>
      <c r="E74" s="14">
        <v>0</v>
      </c>
      <c r="F74" s="14">
        <v>0</v>
      </c>
      <c r="G74" s="58" t="s">
        <v>640</v>
      </c>
      <c r="H74" s="107"/>
      <c r="I74" s="112"/>
      <c r="J74" s="107">
        <v>2188586.14</v>
      </c>
      <c r="K74" s="112">
        <v>0</v>
      </c>
      <c r="L74" s="107">
        <v>0</v>
      </c>
      <c r="M74" s="112">
        <v>0</v>
      </c>
      <c r="N74" s="107">
        <v>0</v>
      </c>
      <c r="O74" s="112">
        <v>0</v>
      </c>
      <c r="P74" s="107">
        <v>0</v>
      </c>
      <c r="Q74" s="112">
        <v>2188586.14</v>
      </c>
      <c r="R74" s="107">
        <v>0</v>
      </c>
      <c r="S74" s="112">
        <v>0</v>
      </c>
      <c r="T74" s="107">
        <v>0</v>
      </c>
      <c r="U74" s="112">
        <v>0</v>
      </c>
      <c r="V74" s="107">
        <v>0</v>
      </c>
      <c r="W74" s="112">
        <v>0</v>
      </c>
      <c r="X74" s="107">
        <v>0</v>
      </c>
      <c r="Y74" s="112">
        <v>0</v>
      </c>
      <c r="Z74" s="107">
        <v>0</v>
      </c>
      <c r="AA74" s="112">
        <v>2188586.14</v>
      </c>
      <c r="AB74" s="107">
        <v>13.859999999869615</v>
      </c>
      <c r="AC74" s="112">
        <v>2188600</v>
      </c>
      <c r="AD74" s="28" t="s">
        <v>140</v>
      </c>
      <c r="AE74" s="68" t="s">
        <v>877</v>
      </c>
      <c r="AF74" s="16" t="s">
        <v>854</v>
      </c>
      <c r="AG74" s="4" t="b">
        <f t="shared" ref="AG74:AG121" si="1">B74=AF74</f>
        <v>1</v>
      </c>
    </row>
    <row r="75" spans="1:33" x14ac:dyDescent="0.2">
      <c r="A75" s="14">
        <v>67</v>
      </c>
      <c r="B75" s="28" t="s">
        <v>917</v>
      </c>
      <c r="C75" s="14" t="s">
        <v>971</v>
      </c>
      <c r="D75" s="14">
        <v>22</v>
      </c>
      <c r="E75" s="14">
        <v>0</v>
      </c>
      <c r="F75" s="14">
        <v>0</v>
      </c>
      <c r="G75" s="58" t="s">
        <v>633</v>
      </c>
      <c r="H75" s="107"/>
      <c r="I75" s="112"/>
      <c r="J75" s="107">
        <v>2188586.14</v>
      </c>
      <c r="K75" s="112">
        <v>0</v>
      </c>
      <c r="L75" s="107">
        <v>0</v>
      </c>
      <c r="M75" s="112">
        <v>0</v>
      </c>
      <c r="N75" s="107">
        <v>0</v>
      </c>
      <c r="O75" s="112">
        <v>0</v>
      </c>
      <c r="P75" s="107">
        <v>0</v>
      </c>
      <c r="Q75" s="112">
        <v>2188586.14</v>
      </c>
      <c r="R75" s="107">
        <v>0</v>
      </c>
      <c r="S75" s="112">
        <v>0</v>
      </c>
      <c r="T75" s="107">
        <v>0</v>
      </c>
      <c r="U75" s="112">
        <v>0</v>
      </c>
      <c r="V75" s="107">
        <v>0</v>
      </c>
      <c r="W75" s="112">
        <v>0</v>
      </c>
      <c r="X75" s="107">
        <v>0</v>
      </c>
      <c r="Y75" s="112">
        <v>0</v>
      </c>
      <c r="Z75" s="107">
        <v>0</v>
      </c>
      <c r="AA75" s="112">
        <v>2188586.14</v>
      </c>
      <c r="AB75" s="107">
        <v>13.859999999869615</v>
      </c>
      <c r="AC75" s="112">
        <v>2188600</v>
      </c>
      <c r="AD75" s="28" t="s">
        <v>142</v>
      </c>
      <c r="AE75" s="68" t="s">
        <v>928</v>
      </c>
      <c r="AF75" s="16" t="s">
        <v>917</v>
      </c>
      <c r="AG75" s="4" t="b">
        <f t="shared" si="1"/>
        <v>1</v>
      </c>
    </row>
    <row r="76" spans="1:33" x14ac:dyDescent="0.2">
      <c r="A76" s="14">
        <v>68</v>
      </c>
      <c r="B76" s="28" t="s">
        <v>855</v>
      </c>
      <c r="C76" s="14" t="s">
        <v>892</v>
      </c>
      <c r="D76" s="14">
        <v>22</v>
      </c>
      <c r="E76" s="14">
        <v>0</v>
      </c>
      <c r="F76" s="14">
        <v>0</v>
      </c>
      <c r="G76" s="58" t="s">
        <v>867</v>
      </c>
      <c r="H76" s="107"/>
      <c r="I76" s="112"/>
      <c r="J76" s="107">
        <v>2188586.14</v>
      </c>
      <c r="K76" s="112">
        <v>0</v>
      </c>
      <c r="L76" s="107">
        <v>0</v>
      </c>
      <c r="M76" s="112">
        <v>0</v>
      </c>
      <c r="N76" s="107">
        <v>0</v>
      </c>
      <c r="O76" s="112">
        <v>0</v>
      </c>
      <c r="P76" s="107">
        <v>0</v>
      </c>
      <c r="Q76" s="112">
        <v>2188586.14</v>
      </c>
      <c r="R76" s="107">
        <v>22</v>
      </c>
      <c r="S76" s="112">
        <v>3139.5919583333334</v>
      </c>
      <c r="T76" s="107">
        <v>0</v>
      </c>
      <c r="U76" s="112">
        <v>0</v>
      </c>
      <c r="V76" s="107">
        <v>0</v>
      </c>
      <c r="W76" s="112">
        <v>0</v>
      </c>
      <c r="X76" s="107">
        <v>0</v>
      </c>
      <c r="Y76" s="112">
        <v>0</v>
      </c>
      <c r="Z76" s="107">
        <v>3139.5919583333334</v>
      </c>
      <c r="AA76" s="112">
        <v>2185446.5480416669</v>
      </c>
      <c r="AB76" s="107">
        <v>53.451958333142102</v>
      </c>
      <c r="AC76" s="112">
        <v>2185500</v>
      </c>
      <c r="AD76" s="28" t="s">
        <v>144</v>
      </c>
      <c r="AE76" s="68" t="s">
        <v>878</v>
      </c>
      <c r="AF76" s="16" t="s">
        <v>855</v>
      </c>
      <c r="AG76" s="4" t="b">
        <f t="shared" si="1"/>
        <v>1</v>
      </c>
    </row>
    <row r="77" spans="1:33" x14ac:dyDescent="0.2">
      <c r="A77" s="14">
        <v>69</v>
      </c>
      <c r="B77" s="28" t="s">
        <v>856</v>
      </c>
      <c r="C77" s="14" t="s">
        <v>893</v>
      </c>
      <c r="D77" s="14">
        <v>22</v>
      </c>
      <c r="E77" s="14">
        <v>0</v>
      </c>
      <c r="F77" s="14">
        <v>0</v>
      </c>
      <c r="G77" s="58" t="s">
        <v>624</v>
      </c>
      <c r="H77" s="107"/>
      <c r="I77" s="112"/>
      <c r="J77" s="107">
        <v>2188586.14</v>
      </c>
      <c r="K77" s="112">
        <v>0</v>
      </c>
      <c r="L77" s="107">
        <v>0</v>
      </c>
      <c r="M77" s="112">
        <v>51232.811913636375</v>
      </c>
      <c r="N77" s="107">
        <v>0</v>
      </c>
      <c r="O77" s="112">
        <v>0</v>
      </c>
      <c r="P77" s="107">
        <v>0</v>
      </c>
      <c r="Q77" s="112">
        <v>2239818.9519136366</v>
      </c>
      <c r="R77" s="107">
        <v>0</v>
      </c>
      <c r="S77" s="112">
        <v>0</v>
      </c>
      <c r="T77" s="107">
        <v>0</v>
      </c>
      <c r="U77" s="112">
        <v>0</v>
      </c>
      <c r="V77" s="107">
        <v>0</v>
      </c>
      <c r="W77" s="112">
        <v>0</v>
      </c>
      <c r="X77" s="107">
        <v>0</v>
      </c>
      <c r="Y77" s="112">
        <v>0</v>
      </c>
      <c r="Z77" s="107">
        <v>0</v>
      </c>
      <c r="AA77" s="112">
        <v>2239818.9519136366</v>
      </c>
      <c r="AB77" s="107">
        <v>81.04808636335656</v>
      </c>
      <c r="AC77" s="112">
        <v>2239900</v>
      </c>
      <c r="AD77" s="28" t="s">
        <v>145</v>
      </c>
      <c r="AE77" s="68" t="s">
        <v>602</v>
      </c>
      <c r="AF77" s="16" t="s">
        <v>856</v>
      </c>
      <c r="AG77" s="4" t="b">
        <f t="shared" si="1"/>
        <v>1</v>
      </c>
    </row>
    <row r="78" spans="1:33" x14ac:dyDescent="0.2">
      <c r="A78" s="14">
        <v>70</v>
      </c>
      <c r="B78" s="28" t="s">
        <v>918</v>
      </c>
      <c r="C78" s="14" t="s">
        <v>972</v>
      </c>
      <c r="D78" s="14">
        <v>22</v>
      </c>
      <c r="E78" s="14">
        <v>0</v>
      </c>
      <c r="F78" s="14">
        <v>0</v>
      </c>
      <c r="G78" s="58" t="s">
        <v>622</v>
      </c>
      <c r="H78" s="107"/>
      <c r="I78" s="112"/>
      <c r="J78" s="107">
        <v>2188586.14</v>
      </c>
      <c r="K78" s="112">
        <v>0</v>
      </c>
      <c r="L78" s="107">
        <v>0</v>
      </c>
      <c r="M78" s="112">
        <v>248702.97045454552</v>
      </c>
      <c r="N78" s="107">
        <v>0</v>
      </c>
      <c r="O78" s="112">
        <v>0</v>
      </c>
      <c r="P78" s="107">
        <v>0</v>
      </c>
      <c r="Q78" s="112">
        <v>2437289.1104545458</v>
      </c>
      <c r="R78" s="107">
        <v>7</v>
      </c>
      <c r="S78" s="112">
        <v>998.96107765151532</v>
      </c>
      <c r="T78" s="107">
        <v>0</v>
      </c>
      <c r="U78" s="112">
        <v>0</v>
      </c>
      <c r="V78" s="107">
        <v>0</v>
      </c>
      <c r="W78" s="112">
        <v>0</v>
      </c>
      <c r="X78" s="107">
        <v>0</v>
      </c>
      <c r="Y78" s="112">
        <v>0</v>
      </c>
      <c r="Z78" s="107">
        <v>998.96107765151532</v>
      </c>
      <c r="AA78" s="112">
        <v>2436290.1493768943</v>
      </c>
      <c r="AB78" s="107">
        <v>9.8506231056526303</v>
      </c>
      <c r="AC78" s="112">
        <v>2436300</v>
      </c>
      <c r="AD78" s="28" t="s">
        <v>147</v>
      </c>
      <c r="AE78" s="68" t="s">
        <v>929</v>
      </c>
      <c r="AF78" s="16" t="s">
        <v>918</v>
      </c>
      <c r="AG78" s="4" t="b">
        <f t="shared" si="1"/>
        <v>1</v>
      </c>
    </row>
    <row r="79" spans="1:33" x14ac:dyDescent="0.2">
      <c r="A79" s="14">
        <v>71</v>
      </c>
      <c r="B79" s="28" t="s">
        <v>919</v>
      </c>
      <c r="C79" s="14" t="s">
        <v>973</v>
      </c>
      <c r="D79" s="14">
        <v>22</v>
      </c>
      <c r="E79" s="14">
        <v>0</v>
      </c>
      <c r="F79" s="14">
        <v>0</v>
      </c>
      <c r="G79" s="58" t="s">
        <v>925</v>
      </c>
      <c r="H79" s="107"/>
      <c r="I79" s="112"/>
      <c r="J79" s="107">
        <v>1673624.69</v>
      </c>
      <c r="K79" s="112">
        <v>0</v>
      </c>
      <c r="L79" s="107">
        <v>0</v>
      </c>
      <c r="M79" s="112">
        <v>76073.849545454548</v>
      </c>
      <c r="N79" s="107">
        <v>0</v>
      </c>
      <c r="O79" s="112">
        <v>0</v>
      </c>
      <c r="P79" s="107">
        <v>0</v>
      </c>
      <c r="Q79" s="112">
        <v>1749698.5395454546</v>
      </c>
      <c r="R79" s="107">
        <v>0</v>
      </c>
      <c r="S79" s="112">
        <v>0</v>
      </c>
      <c r="T79" s="107">
        <v>0</v>
      </c>
      <c r="U79" s="112">
        <v>0</v>
      </c>
      <c r="V79" s="107">
        <v>0</v>
      </c>
      <c r="W79" s="112">
        <v>0</v>
      </c>
      <c r="X79" s="107">
        <v>0</v>
      </c>
      <c r="Y79" s="112">
        <v>0</v>
      </c>
      <c r="Z79" s="107">
        <v>0</v>
      </c>
      <c r="AA79" s="112">
        <v>1749698.5395454546</v>
      </c>
      <c r="AB79" s="107">
        <v>1.4604545454494655</v>
      </c>
      <c r="AC79" s="112">
        <v>1749700</v>
      </c>
      <c r="AD79" s="28" t="s">
        <v>149</v>
      </c>
      <c r="AE79" s="68" t="s">
        <v>930</v>
      </c>
      <c r="AF79" s="16" t="s">
        <v>919</v>
      </c>
      <c r="AG79" s="4" t="b">
        <f t="shared" si="1"/>
        <v>1</v>
      </c>
    </row>
    <row r="80" spans="1:33" x14ac:dyDescent="0.2">
      <c r="A80" s="14">
        <v>72</v>
      </c>
      <c r="B80" s="28" t="s">
        <v>920</v>
      </c>
      <c r="C80" s="14" t="s">
        <v>974</v>
      </c>
      <c r="D80" s="14">
        <v>22</v>
      </c>
      <c r="E80" s="14">
        <v>0</v>
      </c>
      <c r="F80" s="14">
        <v>0</v>
      </c>
      <c r="G80" s="58" t="s">
        <v>926</v>
      </c>
      <c r="H80" s="107"/>
      <c r="I80" s="112"/>
      <c r="J80" s="107">
        <v>2059845.78</v>
      </c>
      <c r="K80" s="112">
        <v>0</v>
      </c>
      <c r="L80" s="107">
        <v>0</v>
      </c>
      <c r="M80" s="112">
        <v>0</v>
      </c>
      <c r="N80" s="107">
        <v>0</v>
      </c>
      <c r="O80" s="112">
        <v>0</v>
      </c>
      <c r="P80" s="107">
        <v>0</v>
      </c>
      <c r="Q80" s="112">
        <v>2059845.78</v>
      </c>
      <c r="R80" s="107">
        <v>24</v>
      </c>
      <c r="S80" s="112">
        <v>3132.4176818181818</v>
      </c>
      <c r="T80" s="107">
        <v>0</v>
      </c>
      <c r="U80" s="112">
        <v>0</v>
      </c>
      <c r="V80" s="107">
        <v>0</v>
      </c>
      <c r="W80" s="112">
        <v>0</v>
      </c>
      <c r="X80" s="107">
        <v>0</v>
      </c>
      <c r="Y80" s="112">
        <v>0</v>
      </c>
      <c r="Z80" s="107">
        <v>3132.4176818181818</v>
      </c>
      <c r="AA80" s="112">
        <v>2056713.3623181819</v>
      </c>
      <c r="AB80" s="107">
        <v>86.637681818101555</v>
      </c>
      <c r="AC80" s="112">
        <v>2056800</v>
      </c>
      <c r="AD80" s="28" t="s">
        <v>367</v>
      </c>
      <c r="AE80" s="68" t="s">
        <v>931</v>
      </c>
      <c r="AF80" s="16" t="s">
        <v>920</v>
      </c>
      <c r="AG80" s="4" t="b">
        <f t="shared" si="1"/>
        <v>1</v>
      </c>
    </row>
    <row r="81" spans="1:35" x14ac:dyDescent="0.2">
      <c r="A81" s="14">
        <v>73</v>
      </c>
      <c r="B81" s="28" t="s">
        <v>911</v>
      </c>
      <c r="C81" s="14" t="s">
        <v>975</v>
      </c>
      <c r="D81" s="14">
        <v>22</v>
      </c>
      <c r="E81" s="14">
        <v>0</v>
      </c>
      <c r="F81" s="14">
        <v>0</v>
      </c>
      <c r="G81" s="58" t="s">
        <v>625</v>
      </c>
      <c r="H81" s="107"/>
      <c r="I81" s="112"/>
      <c r="J81" s="107">
        <v>1493388</v>
      </c>
      <c r="K81" s="112">
        <v>0</v>
      </c>
      <c r="L81" s="107">
        <v>0</v>
      </c>
      <c r="M81" s="112">
        <v>439616.14843124995</v>
      </c>
      <c r="N81" s="107">
        <v>0</v>
      </c>
      <c r="O81" s="112">
        <v>0</v>
      </c>
      <c r="P81" s="107">
        <v>0</v>
      </c>
      <c r="Q81" s="112">
        <v>1933004.1484312499</v>
      </c>
      <c r="R81" s="107">
        <v>0</v>
      </c>
      <c r="S81" s="112">
        <v>0</v>
      </c>
      <c r="T81" s="107">
        <v>0</v>
      </c>
      <c r="U81" s="112">
        <v>0</v>
      </c>
      <c r="V81" s="107">
        <v>0</v>
      </c>
      <c r="W81" s="112">
        <v>0</v>
      </c>
      <c r="X81" s="107">
        <v>0</v>
      </c>
      <c r="Y81" s="112">
        <v>0</v>
      </c>
      <c r="Z81" s="107">
        <v>0</v>
      </c>
      <c r="AA81" s="112">
        <v>1933004.1484312499</v>
      </c>
      <c r="AB81" s="107">
        <v>95.851568750105798</v>
      </c>
      <c r="AC81" s="112">
        <v>1933100</v>
      </c>
      <c r="AD81" s="28" t="s">
        <v>152</v>
      </c>
      <c r="AE81" s="68" t="s">
        <v>932</v>
      </c>
      <c r="AF81" s="16" t="s">
        <v>911</v>
      </c>
      <c r="AG81" s="4" t="b">
        <f t="shared" si="1"/>
        <v>1</v>
      </c>
    </row>
    <row r="82" spans="1:35" x14ac:dyDescent="0.2">
      <c r="A82" s="14">
        <v>74</v>
      </c>
      <c r="B82" s="28" t="s">
        <v>921</v>
      </c>
      <c r="C82" s="14" t="s">
        <v>976</v>
      </c>
      <c r="D82" s="14">
        <v>22</v>
      </c>
      <c r="E82" s="14">
        <v>0</v>
      </c>
      <c r="F82" s="14">
        <v>0</v>
      </c>
      <c r="G82" s="58" t="s">
        <v>649</v>
      </c>
      <c r="H82" s="107"/>
      <c r="I82" s="112"/>
      <c r="J82" s="107">
        <v>3000000</v>
      </c>
      <c r="K82" s="112">
        <v>0</v>
      </c>
      <c r="L82" s="107">
        <v>0</v>
      </c>
      <c r="M82" s="112">
        <v>0</v>
      </c>
      <c r="N82" s="107">
        <v>0</v>
      </c>
      <c r="O82" s="112">
        <v>0</v>
      </c>
      <c r="P82" s="107">
        <v>0</v>
      </c>
      <c r="Q82" s="112">
        <v>3000000</v>
      </c>
      <c r="R82" s="107">
        <v>204</v>
      </c>
      <c r="S82" s="112">
        <v>44787.620454545453</v>
      </c>
      <c r="T82" s="107">
        <v>0</v>
      </c>
      <c r="U82" s="112">
        <v>0</v>
      </c>
      <c r="V82" s="107">
        <v>0</v>
      </c>
      <c r="W82" s="112">
        <v>0</v>
      </c>
      <c r="X82" s="107">
        <v>0</v>
      </c>
      <c r="Y82" s="112">
        <v>0</v>
      </c>
      <c r="Z82" s="107">
        <v>44787.620454545453</v>
      </c>
      <c r="AA82" s="112">
        <v>2955212.3795454544</v>
      </c>
      <c r="AB82" s="107">
        <v>87.620454545598477</v>
      </c>
      <c r="AC82" s="112">
        <v>2955300</v>
      </c>
      <c r="AD82" s="28" t="s">
        <v>154</v>
      </c>
      <c r="AE82" s="68" t="s">
        <v>933</v>
      </c>
      <c r="AF82" s="16" t="s">
        <v>921</v>
      </c>
      <c r="AG82" s="4" t="b">
        <f t="shared" si="1"/>
        <v>1</v>
      </c>
    </row>
    <row r="83" spans="1:35" x14ac:dyDescent="0.2">
      <c r="A83" s="14">
        <v>75</v>
      </c>
      <c r="B83" s="28" t="s">
        <v>857</v>
      </c>
      <c r="C83" s="14" t="s">
        <v>894</v>
      </c>
      <c r="D83" s="14">
        <v>22</v>
      </c>
      <c r="E83" s="14">
        <v>0</v>
      </c>
      <c r="F83" s="14">
        <v>0</v>
      </c>
      <c r="G83" s="58" t="s">
        <v>645</v>
      </c>
      <c r="H83" s="107"/>
      <c r="I83" s="112"/>
      <c r="J83" s="107">
        <v>2059845.78</v>
      </c>
      <c r="K83" s="112">
        <v>0</v>
      </c>
      <c r="L83" s="107">
        <v>0</v>
      </c>
      <c r="M83" s="112">
        <v>0</v>
      </c>
      <c r="N83" s="107">
        <v>0</v>
      </c>
      <c r="O83" s="112">
        <v>0</v>
      </c>
      <c r="P83" s="107">
        <v>0</v>
      </c>
      <c r="Q83" s="112">
        <v>2059845.78</v>
      </c>
      <c r="R83" s="107">
        <v>0</v>
      </c>
      <c r="S83" s="112">
        <v>0</v>
      </c>
      <c r="T83" s="107">
        <v>0</v>
      </c>
      <c r="U83" s="112">
        <v>0</v>
      </c>
      <c r="V83" s="107">
        <v>0</v>
      </c>
      <c r="W83" s="112">
        <v>0</v>
      </c>
      <c r="X83" s="107">
        <v>0</v>
      </c>
      <c r="Y83" s="112">
        <v>0</v>
      </c>
      <c r="Z83" s="107">
        <v>0</v>
      </c>
      <c r="AA83" s="112">
        <v>2059845.78</v>
      </c>
      <c r="AB83" s="107">
        <v>54.21999999997206</v>
      </c>
      <c r="AC83" s="112">
        <v>2059900</v>
      </c>
      <c r="AD83" s="28" t="s">
        <v>156</v>
      </c>
      <c r="AE83" s="68" t="s">
        <v>879</v>
      </c>
      <c r="AF83" s="16" t="s">
        <v>857</v>
      </c>
      <c r="AG83" s="4" t="b">
        <f t="shared" si="1"/>
        <v>1</v>
      </c>
    </row>
    <row r="84" spans="1:35" x14ac:dyDescent="0.2">
      <c r="A84" s="14">
        <v>76</v>
      </c>
      <c r="B84" s="28" t="s">
        <v>914</v>
      </c>
      <c r="C84" s="14" t="s">
        <v>977</v>
      </c>
      <c r="D84" s="14">
        <v>22</v>
      </c>
      <c r="E84" s="14">
        <v>0</v>
      </c>
      <c r="F84" s="14">
        <v>0</v>
      </c>
      <c r="G84" s="58" t="s">
        <v>626</v>
      </c>
      <c r="H84" s="107"/>
      <c r="I84" s="112"/>
      <c r="J84" s="107">
        <v>2059845.78</v>
      </c>
      <c r="K84" s="112">
        <v>0</v>
      </c>
      <c r="L84" s="107">
        <v>0</v>
      </c>
      <c r="M84" s="112">
        <v>0</v>
      </c>
      <c r="N84" s="107">
        <v>0</v>
      </c>
      <c r="O84" s="112">
        <v>0</v>
      </c>
      <c r="P84" s="107">
        <v>0</v>
      </c>
      <c r="Q84" s="112">
        <v>2059845.78</v>
      </c>
      <c r="R84" s="107">
        <v>0</v>
      </c>
      <c r="S84" s="112">
        <v>0</v>
      </c>
      <c r="T84" s="107">
        <v>0</v>
      </c>
      <c r="U84" s="112">
        <v>0</v>
      </c>
      <c r="V84" s="107">
        <v>0</v>
      </c>
      <c r="W84" s="112">
        <v>0</v>
      </c>
      <c r="X84" s="107">
        <v>0</v>
      </c>
      <c r="Y84" s="112">
        <v>0</v>
      </c>
      <c r="Z84" s="107">
        <v>0</v>
      </c>
      <c r="AA84" s="112">
        <v>2059845.78</v>
      </c>
      <c r="AB84" s="107">
        <v>54.21999999997206</v>
      </c>
      <c r="AC84" s="112">
        <v>2059900</v>
      </c>
      <c r="AD84" s="28" t="s">
        <v>158</v>
      </c>
      <c r="AE84" s="68" t="s">
        <v>934</v>
      </c>
      <c r="AF84" s="16" t="s">
        <v>914</v>
      </c>
      <c r="AG84" s="4" t="b">
        <f t="shared" si="1"/>
        <v>1</v>
      </c>
    </row>
    <row r="85" spans="1:35" x14ac:dyDescent="0.2">
      <c r="A85" s="14">
        <v>77</v>
      </c>
      <c r="B85" s="28" t="s">
        <v>913</v>
      </c>
      <c r="C85" s="14" t="s">
        <v>978</v>
      </c>
      <c r="D85" s="14">
        <v>22</v>
      </c>
      <c r="E85" s="14">
        <v>0</v>
      </c>
      <c r="F85" s="14">
        <v>0</v>
      </c>
      <c r="G85" s="58" t="s">
        <v>631</v>
      </c>
      <c r="H85" s="107"/>
      <c r="I85" s="112"/>
      <c r="J85" s="107">
        <v>2059845.78</v>
      </c>
      <c r="K85" s="112">
        <v>0</v>
      </c>
      <c r="L85" s="107">
        <v>0</v>
      </c>
      <c r="M85" s="112">
        <v>0</v>
      </c>
      <c r="N85" s="107">
        <v>0</v>
      </c>
      <c r="O85" s="112">
        <v>0</v>
      </c>
      <c r="P85" s="107">
        <v>0</v>
      </c>
      <c r="Q85" s="112">
        <v>2059845.78</v>
      </c>
      <c r="R85" s="107">
        <v>0</v>
      </c>
      <c r="S85" s="112">
        <v>0</v>
      </c>
      <c r="T85" s="107">
        <v>0</v>
      </c>
      <c r="U85" s="112">
        <v>0</v>
      </c>
      <c r="V85" s="107">
        <v>0</v>
      </c>
      <c r="W85" s="112">
        <v>0</v>
      </c>
      <c r="X85" s="107">
        <v>0</v>
      </c>
      <c r="Y85" s="112">
        <v>0</v>
      </c>
      <c r="Z85" s="107">
        <v>0</v>
      </c>
      <c r="AA85" s="112">
        <v>2059845.78</v>
      </c>
      <c r="AB85" s="107">
        <v>54.21999999997206</v>
      </c>
      <c r="AC85" s="112">
        <v>2059900</v>
      </c>
      <c r="AD85" s="28" t="s">
        <v>160</v>
      </c>
      <c r="AE85" s="68" t="s">
        <v>935</v>
      </c>
      <c r="AF85" s="16" t="s">
        <v>913</v>
      </c>
      <c r="AG85" s="4" t="b">
        <f t="shared" si="1"/>
        <v>1</v>
      </c>
    </row>
    <row r="86" spans="1:35" x14ac:dyDescent="0.2">
      <c r="A86" s="14">
        <v>78</v>
      </c>
      <c r="B86" s="28" t="s">
        <v>922</v>
      </c>
      <c r="C86" s="14" t="s">
        <v>979</v>
      </c>
      <c r="D86" s="14">
        <v>22</v>
      </c>
      <c r="E86" s="14">
        <v>0</v>
      </c>
      <c r="F86" s="14">
        <v>0</v>
      </c>
      <c r="G86" s="58" t="s">
        <v>867</v>
      </c>
      <c r="H86" s="107"/>
      <c r="I86" s="112"/>
      <c r="J86" s="107">
        <v>2188586.14</v>
      </c>
      <c r="K86" s="112">
        <v>0</v>
      </c>
      <c r="L86" s="107">
        <v>0</v>
      </c>
      <c r="M86" s="112">
        <v>87419.094114772743</v>
      </c>
      <c r="N86" s="107">
        <v>0</v>
      </c>
      <c r="O86" s="112">
        <v>0</v>
      </c>
      <c r="P86" s="107">
        <v>0</v>
      </c>
      <c r="Q86" s="112">
        <v>2276005.2341147726</v>
      </c>
      <c r="R86" s="107">
        <v>0</v>
      </c>
      <c r="S86" s="112">
        <v>0</v>
      </c>
      <c r="T86" s="107">
        <v>0</v>
      </c>
      <c r="U86" s="112">
        <v>0</v>
      </c>
      <c r="V86" s="107">
        <v>0</v>
      </c>
      <c r="W86" s="112">
        <v>0</v>
      </c>
      <c r="X86" s="107">
        <v>0</v>
      </c>
      <c r="Y86" s="112">
        <v>0</v>
      </c>
      <c r="Z86" s="107">
        <v>0</v>
      </c>
      <c r="AA86" s="112">
        <v>2276005.2341147726</v>
      </c>
      <c r="AB86" s="107">
        <v>94.765885227359831</v>
      </c>
      <c r="AC86" s="112">
        <v>2276100</v>
      </c>
      <c r="AD86" s="28" t="s">
        <v>368</v>
      </c>
      <c r="AE86" s="68" t="s">
        <v>936</v>
      </c>
      <c r="AF86" s="16" t="s">
        <v>922</v>
      </c>
      <c r="AG86" s="4" t="b">
        <f t="shared" si="1"/>
        <v>1</v>
      </c>
    </row>
    <row r="87" spans="1:35" x14ac:dyDescent="0.2">
      <c r="A87" s="14">
        <v>79</v>
      </c>
      <c r="B87" s="28" t="s">
        <v>923</v>
      </c>
      <c r="C87" s="14" t="s">
        <v>980</v>
      </c>
      <c r="D87" s="14">
        <v>22</v>
      </c>
      <c r="E87" s="14">
        <v>0</v>
      </c>
      <c r="F87" s="14">
        <v>0</v>
      </c>
      <c r="G87" s="58" t="s">
        <v>924</v>
      </c>
      <c r="H87" s="107"/>
      <c r="I87" s="112"/>
      <c r="J87" s="107">
        <v>2188586.14</v>
      </c>
      <c r="K87" s="112">
        <v>0</v>
      </c>
      <c r="L87" s="107">
        <v>0</v>
      </c>
      <c r="M87" s="112">
        <v>198962</v>
      </c>
      <c r="N87" s="107">
        <v>0</v>
      </c>
      <c r="O87" s="112">
        <v>0</v>
      </c>
      <c r="P87" s="107">
        <v>0</v>
      </c>
      <c r="Q87" s="112">
        <v>2387548.14</v>
      </c>
      <c r="R87" s="107">
        <v>36</v>
      </c>
      <c r="S87" s="112">
        <v>5137.5141136363636</v>
      </c>
      <c r="T87" s="107">
        <v>0</v>
      </c>
      <c r="U87" s="112">
        <v>0</v>
      </c>
      <c r="V87" s="107">
        <v>0</v>
      </c>
      <c r="W87" s="112">
        <v>0</v>
      </c>
      <c r="X87" s="107">
        <v>0</v>
      </c>
      <c r="Y87" s="112">
        <v>0</v>
      </c>
      <c r="Z87" s="107">
        <v>5137.5141136363636</v>
      </c>
      <c r="AA87" s="112">
        <v>2382410.6258863639</v>
      </c>
      <c r="AB87" s="107">
        <v>89.374113636091352</v>
      </c>
      <c r="AC87" s="112">
        <v>2382500</v>
      </c>
      <c r="AD87" s="28" t="s">
        <v>163</v>
      </c>
      <c r="AE87" s="68" t="s">
        <v>937</v>
      </c>
      <c r="AF87" s="16" t="s">
        <v>923</v>
      </c>
      <c r="AG87" s="4" t="b">
        <f t="shared" si="1"/>
        <v>1</v>
      </c>
    </row>
    <row r="88" spans="1:35" x14ac:dyDescent="0.2">
      <c r="A88" s="14">
        <v>80</v>
      </c>
      <c r="B88" s="28" t="s">
        <v>858</v>
      </c>
      <c r="C88" s="14" t="s">
        <v>710</v>
      </c>
      <c r="D88" s="14">
        <v>22</v>
      </c>
      <c r="E88" s="14">
        <v>0</v>
      </c>
      <c r="F88" s="14">
        <v>0</v>
      </c>
      <c r="G88" s="58" t="s">
        <v>636</v>
      </c>
      <c r="H88" s="107"/>
      <c r="I88" s="112"/>
      <c r="J88" s="107">
        <v>2059845.78</v>
      </c>
      <c r="K88" s="112">
        <v>0</v>
      </c>
      <c r="L88" s="107">
        <v>0</v>
      </c>
      <c r="M88" s="112">
        <v>151562.51619886362</v>
      </c>
      <c r="N88" s="107">
        <v>0</v>
      </c>
      <c r="O88" s="112">
        <v>0</v>
      </c>
      <c r="P88" s="107">
        <v>0</v>
      </c>
      <c r="Q88" s="112">
        <v>2211408.2961988635</v>
      </c>
      <c r="R88" s="107">
        <v>4</v>
      </c>
      <c r="S88" s="112">
        <v>522.06961363636367</v>
      </c>
      <c r="T88" s="107">
        <v>0</v>
      </c>
      <c r="U88" s="112"/>
      <c r="V88" s="107">
        <v>0</v>
      </c>
      <c r="W88" s="112">
        <v>0</v>
      </c>
      <c r="X88" s="107">
        <v>0</v>
      </c>
      <c r="Y88" s="112">
        <v>0</v>
      </c>
      <c r="Z88" s="107">
        <v>522.06961363636367</v>
      </c>
      <c r="AA88" s="112">
        <v>2210886.2265852271</v>
      </c>
      <c r="AB88" s="107">
        <v>13.773414772935212</v>
      </c>
      <c r="AC88" s="112">
        <v>2210900</v>
      </c>
      <c r="AD88" s="28" t="s">
        <v>292</v>
      </c>
      <c r="AE88" s="68" t="s">
        <v>448</v>
      </c>
      <c r="AF88" s="16" t="s">
        <v>858</v>
      </c>
      <c r="AG88" s="4" t="b">
        <f t="shared" si="1"/>
        <v>1</v>
      </c>
    </row>
    <row r="89" spans="1:35" x14ac:dyDescent="0.2">
      <c r="A89" s="14">
        <v>81</v>
      </c>
      <c r="B89" s="28" t="s">
        <v>359</v>
      </c>
      <c r="C89" s="14" t="s">
        <v>711</v>
      </c>
      <c r="D89" s="14">
        <v>22</v>
      </c>
      <c r="E89" s="14">
        <v>0</v>
      </c>
      <c r="F89" s="14">
        <v>0</v>
      </c>
      <c r="G89" s="58" t="s">
        <v>631</v>
      </c>
      <c r="H89" s="107"/>
      <c r="I89" s="112"/>
      <c r="J89" s="107">
        <v>2059845.78</v>
      </c>
      <c r="K89" s="112">
        <v>0</v>
      </c>
      <c r="L89" s="107">
        <v>0</v>
      </c>
      <c r="M89" s="112">
        <v>0</v>
      </c>
      <c r="N89" s="107">
        <v>0</v>
      </c>
      <c r="O89" s="112">
        <v>0</v>
      </c>
      <c r="P89" s="107">
        <v>0</v>
      </c>
      <c r="Q89" s="112">
        <v>2059845.78</v>
      </c>
      <c r="R89" s="107">
        <v>0</v>
      </c>
      <c r="S89" s="112">
        <v>0</v>
      </c>
      <c r="T89" s="107">
        <v>0</v>
      </c>
      <c r="U89" s="112"/>
      <c r="V89" s="107">
        <v>0</v>
      </c>
      <c r="W89" s="112"/>
      <c r="X89" s="107">
        <v>0</v>
      </c>
      <c r="Y89" s="112">
        <v>0</v>
      </c>
      <c r="Z89" s="107">
        <v>0</v>
      </c>
      <c r="AA89" s="112">
        <v>2059845.78</v>
      </c>
      <c r="AB89" s="107">
        <v>54.21999999997206</v>
      </c>
      <c r="AC89" s="112">
        <v>2059900</v>
      </c>
      <c r="AD89" s="28" t="s">
        <v>166</v>
      </c>
      <c r="AE89" s="68" t="s">
        <v>536</v>
      </c>
      <c r="AF89" s="16" t="s">
        <v>359</v>
      </c>
      <c r="AG89" s="4" t="b">
        <f t="shared" si="1"/>
        <v>1</v>
      </c>
    </row>
    <row r="90" spans="1:35" x14ac:dyDescent="0.2">
      <c r="A90" s="14">
        <v>82</v>
      </c>
      <c r="B90" s="28" t="s">
        <v>360</v>
      </c>
      <c r="C90" s="14" t="s">
        <v>712</v>
      </c>
      <c r="D90" s="14">
        <v>17</v>
      </c>
      <c r="E90" s="14">
        <v>0</v>
      </c>
      <c r="F90" s="14">
        <v>0</v>
      </c>
      <c r="G90" s="58" t="s">
        <v>620</v>
      </c>
      <c r="H90" s="107"/>
      <c r="I90" s="112"/>
      <c r="J90" s="107">
        <v>2318181.8181818179</v>
      </c>
      <c r="K90" s="112">
        <v>0</v>
      </c>
      <c r="L90" s="107">
        <v>0</v>
      </c>
      <c r="M90" s="112">
        <v>0</v>
      </c>
      <c r="N90" s="107">
        <v>0</v>
      </c>
      <c r="O90" s="112">
        <v>0</v>
      </c>
      <c r="P90" s="107">
        <v>0</v>
      </c>
      <c r="Q90" s="112">
        <v>2318181.8181818179</v>
      </c>
      <c r="R90" s="107">
        <v>93</v>
      </c>
      <c r="S90" s="112">
        <v>20415.805785123965</v>
      </c>
      <c r="T90" s="107">
        <v>0</v>
      </c>
      <c r="U90" s="112">
        <v>0</v>
      </c>
      <c r="V90" s="107">
        <v>0</v>
      </c>
      <c r="W90" s="112">
        <v>0</v>
      </c>
      <c r="X90" s="107">
        <v>0</v>
      </c>
      <c r="Y90" s="112">
        <v>0</v>
      </c>
      <c r="Z90" s="107">
        <v>20415.805785123965</v>
      </c>
      <c r="AA90" s="112">
        <v>2297766.0123966937</v>
      </c>
      <c r="AB90" s="107">
        <v>33.987603306304663</v>
      </c>
      <c r="AC90" s="112">
        <v>2297800</v>
      </c>
      <c r="AD90" s="28" t="s">
        <v>168</v>
      </c>
      <c r="AE90" s="68" t="s">
        <v>424</v>
      </c>
      <c r="AF90" s="16" t="s">
        <v>360</v>
      </c>
      <c r="AG90" s="4" t="b">
        <f t="shared" si="1"/>
        <v>1</v>
      </c>
    </row>
    <row r="91" spans="1:35" x14ac:dyDescent="0.2">
      <c r="A91" s="14">
        <v>83</v>
      </c>
      <c r="B91" s="28" t="s">
        <v>361</v>
      </c>
      <c r="C91" s="14" t="s">
        <v>713</v>
      </c>
      <c r="D91" s="14">
        <v>22</v>
      </c>
      <c r="E91" s="14">
        <v>0</v>
      </c>
      <c r="F91" s="14">
        <v>0</v>
      </c>
      <c r="G91" s="58" t="s">
        <v>621</v>
      </c>
      <c r="H91" s="107"/>
      <c r="I91" s="112"/>
      <c r="J91" s="107">
        <v>2059845.78</v>
      </c>
      <c r="K91" s="112">
        <v>0</v>
      </c>
      <c r="L91" s="107">
        <v>0</v>
      </c>
      <c r="M91" s="112">
        <v>187258.70727272728</v>
      </c>
      <c r="N91" s="107">
        <v>0</v>
      </c>
      <c r="O91" s="112">
        <v>0</v>
      </c>
      <c r="P91" s="107">
        <v>0</v>
      </c>
      <c r="Q91" s="112">
        <v>2247104.4872727273</v>
      </c>
      <c r="R91" s="107">
        <v>19</v>
      </c>
      <c r="S91" s="112">
        <v>2479.8306647727272</v>
      </c>
      <c r="T91" s="107">
        <v>0</v>
      </c>
      <c r="U91" s="112"/>
      <c r="V91" s="107">
        <v>0</v>
      </c>
      <c r="W91" s="112">
        <v>0</v>
      </c>
      <c r="X91" s="107">
        <v>0</v>
      </c>
      <c r="Y91" s="112">
        <v>0</v>
      </c>
      <c r="Z91" s="107">
        <v>2479.8306647727272</v>
      </c>
      <c r="AA91" s="112">
        <v>2244624.6566079548</v>
      </c>
      <c r="AB91" s="107">
        <v>75.343392045237124</v>
      </c>
      <c r="AC91" s="112">
        <v>2244700</v>
      </c>
      <c r="AD91" s="28" t="s">
        <v>170</v>
      </c>
      <c r="AE91" s="68" t="s">
        <v>531</v>
      </c>
      <c r="AF91" s="16" t="s">
        <v>361</v>
      </c>
      <c r="AG91" s="4" t="b">
        <f t="shared" si="1"/>
        <v>1</v>
      </c>
    </row>
    <row r="92" spans="1:35" x14ac:dyDescent="0.2">
      <c r="A92" s="14">
        <v>84</v>
      </c>
      <c r="B92" s="28" t="s">
        <v>369</v>
      </c>
      <c r="C92" s="14" t="s">
        <v>714</v>
      </c>
      <c r="D92" s="14">
        <v>22</v>
      </c>
      <c r="E92" s="14">
        <v>0</v>
      </c>
      <c r="F92" s="14">
        <v>0</v>
      </c>
      <c r="G92" s="58" t="s">
        <v>637</v>
      </c>
      <c r="H92" s="107"/>
      <c r="I92" s="112"/>
      <c r="J92" s="107">
        <v>1673624.69</v>
      </c>
      <c r="K92" s="112">
        <v>0</v>
      </c>
      <c r="L92" s="107"/>
      <c r="M92" s="112">
        <v>722684</v>
      </c>
      <c r="N92" s="107">
        <v>0</v>
      </c>
      <c r="O92" s="112">
        <v>0</v>
      </c>
      <c r="P92" s="107">
        <v>0</v>
      </c>
      <c r="Q92" s="112">
        <v>2396308.69</v>
      </c>
      <c r="R92" s="107">
        <v>1</v>
      </c>
      <c r="S92" s="112">
        <v>93.943436553030295</v>
      </c>
      <c r="T92" s="107">
        <v>0</v>
      </c>
      <c r="U92" s="112">
        <v>0</v>
      </c>
      <c r="V92" s="107">
        <v>0</v>
      </c>
      <c r="W92" s="112">
        <v>0</v>
      </c>
      <c r="X92" s="107">
        <v>0</v>
      </c>
      <c r="Y92" s="112">
        <v>0</v>
      </c>
      <c r="Z92" s="107">
        <v>93.943436553030295</v>
      </c>
      <c r="AA92" s="112">
        <v>2396214.7465634467</v>
      </c>
      <c r="AB92" s="107">
        <v>85.253436553291976</v>
      </c>
      <c r="AC92" s="112">
        <v>2396300</v>
      </c>
      <c r="AD92" s="28" t="s">
        <v>172</v>
      </c>
      <c r="AE92" s="68" t="s">
        <v>579</v>
      </c>
      <c r="AF92" s="16" t="s">
        <v>369</v>
      </c>
      <c r="AG92" s="4" t="b">
        <f t="shared" si="1"/>
        <v>1</v>
      </c>
    </row>
    <row r="93" spans="1:35" x14ac:dyDescent="0.2">
      <c r="A93" s="14">
        <v>85</v>
      </c>
      <c r="B93" s="28" t="s">
        <v>308</v>
      </c>
      <c r="C93" s="14" t="s">
        <v>715</v>
      </c>
      <c r="D93" s="14">
        <v>22</v>
      </c>
      <c r="E93" s="14">
        <v>0</v>
      </c>
      <c r="F93" s="14">
        <v>0</v>
      </c>
      <c r="G93" s="58" t="s">
        <v>614</v>
      </c>
      <c r="H93" s="107"/>
      <c r="I93" s="112"/>
      <c r="J93" s="107">
        <v>1673624.69</v>
      </c>
      <c r="K93" s="112">
        <v>0</v>
      </c>
      <c r="L93" s="107">
        <v>0</v>
      </c>
      <c r="M93" s="112">
        <v>0</v>
      </c>
      <c r="N93" s="107">
        <v>165616.15</v>
      </c>
      <c r="O93" s="112">
        <v>130731</v>
      </c>
      <c r="P93" s="107">
        <v>0</v>
      </c>
      <c r="Q93" s="112">
        <v>1969971.8399999999</v>
      </c>
      <c r="R93" s="107">
        <v>12</v>
      </c>
      <c r="S93" s="112">
        <v>1127.3212386363634</v>
      </c>
      <c r="T93" s="107">
        <v>0</v>
      </c>
      <c r="U93" s="112">
        <v>0</v>
      </c>
      <c r="V93" s="107">
        <v>0</v>
      </c>
      <c r="W93" s="112">
        <v>0</v>
      </c>
      <c r="X93" s="107">
        <v>163414</v>
      </c>
      <c r="Y93" s="112">
        <v>245239.3</v>
      </c>
      <c r="Z93" s="107">
        <v>409780.62123863632</v>
      </c>
      <c r="AA93" s="112">
        <v>1560191.2187613635</v>
      </c>
      <c r="AB93" s="107">
        <v>8.7812386364676058</v>
      </c>
      <c r="AC93" s="112">
        <v>1560200</v>
      </c>
      <c r="AD93" s="28" t="s">
        <v>174</v>
      </c>
      <c r="AE93" s="68" t="s">
        <v>578</v>
      </c>
      <c r="AF93" s="16" t="s">
        <v>308</v>
      </c>
      <c r="AG93" s="4" t="b">
        <f t="shared" si="1"/>
        <v>1</v>
      </c>
    </row>
    <row r="94" spans="1:35" x14ac:dyDescent="0.2">
      <c r="A94" s="14">
        <v>86</v>
      </c>
      <c r="B94" s="28" t="s">
        <v>65</v>
      </c>
      <c r="C94" s="14" t="s">
        <v>716</v>
      </c>
      <c r="D94" s="14">
        <v>22</v>
      </c>
      <c r="E94" s="14">
        <v>0</v>
      </c>
      <c r="F94" s="14">
        <v>0</v>
      </c>
      <c r="G94" s="58" t="s">
        <v>638</v>
      </c>
      <c r="H94" s="107"/>
      <c r="I94" s="112"/>
      <c r="J94" s="107">
        <v>1673624.69</v>
      </c>
      <c r="K94" s="112">
        <v>0</v>
      </c>
      <c r="L94" s="107">
        <v>0</v>
      </c>
      <c r="M94" s="112">
        <v>0</v>
      </c>
      <c r="N94" s="107">
        <v>165616.15</v>
      </c>
      <c r="O94" s="112">
        <v>130731</v>
      </c>
      <c r="P94" s="107">
        <v>0</v>
      </c>
      <c r="Q94" s="112">
        <v>1969971.8399999999</v>
      </c>
      <c r="R94" s="107">
        <v>0</v>
      </c>
      <c r="S94" s="112">
        <v>0</v>
      </c>
      <c r="T94" s="107">
        <v>0</v>
      </c>
      <c r="U94" s="112">
        <v>0</v>
      </c>
      <c r="V94" s="107">
        <v>0</v>
      </c>
      <c r="W94" s="112">
        <v>0</v>
      </c>
      <c r="X94" s="107">
        <v>163414</v>
      </c>
      <c r="Y94" s="112">
        <v>245239.3</v>
      </c>
      <c r="Z94" s="107">
        <v>408653.3</v>
      </c>
      <c r="AA94" s="112">
        <v>1561318.5399999998</v>
      </c>
      <c r="AB94" s="107">
        <v>81.460000000195578</v>
      </c>
      <c r="AC94" s="112">
        <v>1561400</v>
      </c>
      <c r="AD94" s="28" t="s">
        <v>176</v>
      </c>
      <c r="AE94" s="68" t="s">
        <v>473</v>
      </c>
      <c r="AF94" s="16" t="s">
        <v>65</v>
      </c>
      <c r="AG94" s="4" t="b">
        <f t="shared" si="1"/>
        <v>1</v>
      </c>
      <c r="AH94" s="68" t="s">
        <v>487</v>
      </c>
      <c r="AI94" s="16" t="s">
        <v>127</v>
      </c>
    </row>
    <row r="95" spans="1:35" x14ac:dyDescent="0.2">
      <c r="A95" s="14">
        <v>87</v>
      </c>
      <c r="B95" s="28" t="s">
        <v>69</v>
      </c>
      <c r="C95" s="14">
        <v>31331</v>
      </c>
      <c r="D95" s="14">
        <v>22</v>
      </c>
      <c r="E95" s="14">
        <v>0</v>
      </c>
      <c r="F95" s="14">
        <v>0</v>
      </c>
      <c r="G95" s="58" t="s">
        <v>614</v>
      </c>
      <c r="H95" s="107"/>
      <c r="I95" s="112"/>
      <c r="J95" s="107">
        <v>1673624.69</v>
      </c>
      <c r="K95" s="112">
        <v>0</v>
      </c>
      <c r="L95" s="107">
        <v>0</v>
      </c>
      <c r="M95" s="112">
        <v>0</v>
      </c>
      <c r="N95" s="107">
        <v>165616.15</v>
      </c>
      <c r="O95" s="112">
        <v>130731</v>
      </c>
      <c r="P95" s="107">
        <v>0</v>
      </c>
      <c r="Q95" s="112">
        <v>1969971.8399999999</v>
      </c>
      <c r="R95" s="107">
        <v>46</v>
      </c>
      <c r="S95" s="112">
        <v>4321.3980814393935</v>
      </c>
      <c r="T95" s="107">
        <v>0</v>
      </c>
      <c r="U95" s="112">
        <v>0</v>
      </c>
      <c r="V95" s="107">
        <v>0</v>
      </c>
      <c r="W95" s="112">
        <v>0</v>
      </c>
      <c r="X95" s="107">
        <v>163414</v>
      </c>
      <c r="Y95" s="112">
        <v>245239.3</v>
      </c>
      <c r="Z95" s="107">
        <v>412974.69808143936</v>
      </c>
      <c r="AA95" s="112">
        <v>1556997.1419185605</v>
      </c>
      <c r="AB95" s="107">
        <v>2.8580814395099878</v>
      </c>
      <c r="AC95" s="112">
        <v>1557000</v>
      </c>
      <c r="AD95" s="28" t="s">
        <v>177</v>
      </c>
      <c r="AE95" s="68" t="s">
        <v>465</v>
      </c>
      <c r="AF95" s="16" t="s">
        <v>69</v>
      </c>
      <c r="AG95" s="4" t="b">
        <f t="shared" si="1"/>
        <v>1</v>
      </c>
    </row>
    <row r="96" spans="1:35" x14ac:dyDescent="0.2">
      <c r="A96" s="14">
        <v>88</v>
      </c>
      <c r="B96" s="28" t="s">
        <v>71</v>
      </c>
      <c r="C96" s="14" t="s">
        <v>807</v>
      </c>
      <c r="D96" s="14">
        <v>22</v>
      </c>
      <c r="E96" s="14">
        <v>0</v>
      </c>
      <c r="F96" s="14">
        <v>0</v>
      </c>
      <c r="G96" s="58" t="s">
        <v>639</v>
      </c>
      <c r="H96" s="107"/>
      <c r="I96" s="112"/>
      <c r="J96" s="107">
        <v>2188586.14</v>
      </c>
      <c r="K96" s="112">
        <v>0</v>
      </c>
      <c r="L96" s="107">
        <v>0</v>
      </c>
      <c r="M96" s="112">
        <v>99481.188181818186</v>
      </c>
      <c r="N96" s="107">
        <v>165616.15</v>
      </c>
      <c r="O96" s="112">
        <v>0</v>
      </c>
      <c r="P96" s="107">
        <v>0</v>
      </c>
      <c r="Q96" s="112">
        <v>2453683.478181818</v>
      </c>
      <c r="R96" s="107">
        <v>10</v>
      </c>
      <c r="S96" s="112">
        <v>1427.087253787879</v>
      </c>
      <c r="T96" s="107">
        <v>0</v>
      </c>
      <c r="U96" s="112">
        <v>0</v>
      </c>
      <c r="V96" s="107">
        <v>0</v>
      </c>
      <c r="W96" s="112">
        <v>0</v>
      </c>
      <c r="X96" s="107">
        <v>0</v>
      </c>
      <c r="Y96" s="112">
        <v>245239.3</v>
      </c>
      <c r="Z96" s="107">
        <v>246666.38725378786</v>
      </c>
      <c r="AA96" s="112">
        <v>2207017.0909280302</v>
      </c>
      <c r="AB96" s="107">
        <v>82.909071969799697</v>
      </c>
      <c r="AC96" s="112">
        <v>2207100</v>
      </c>
      <c r="AD96" s="28" t="s">
        <v>179</v>
      </c>
      <c r="AE96" s="68" t="s">
        <v>598</v>
      </c>
      <c r="AF96" s="16" t="s">
        <v>71</v>
      </c>
      <c r="AG96" s="4" t="b">
        <f t="shared" si="1"/>
        <v>1</v>
      </c>
    </row>
    <row r="97" spans="1:33" x14ac:dyDescent="0.2">
      <c r="A97" s="14">
        <v>89</v>
      </c>
      <c r="B97" s="28" t="s">
        <v>73</v>
      </c>
      <c r="C97" s="14" t="s">
        <v>718</v>
      </c>
      <c r="D97" s="14">
        <v>22</v>
      </c>
      <c r="E97" s="14">
        <v>0</v>
      </c>
      <c r="F97" s="14">
        <v>0</v>
      </c>
      <c r="G97" s="58" t="s">
        <v>614</v>
      </c>
      <c r="H97" s="107"/>
      <c r="I97" s="112"/>
      <c r="J97" s="107">
        <v>1673624.69</v>
      </c>
      <c r="K97" s="112">
        <v>0</v>
      </c>
      <c r="L97" s="107">
        <v>0</v>
      </c>
      <c r="M97" s="112">
        <v>0</v>
      </c>
      <c r="N97" s="107">
        <v>165616.15</v>
      </c>
      <c r="O97" s="112">
        <v>130731</v>
      </c>
      <c r="P97" s="107">
        <v>0</v>
      </c>
      <c r="Q97" s="112">
        <v>1969971.8399999999</v>
      </c>
      <c r="R97" s="107">
        <v>7</v>
      </c>
      <c r="S97" s="112">
        <v>657.60405587121215</v>
      </c>
      <c r="T97" s="107">
        <v>0</v>
      </c>
      <c r="U97" s="112">
        <v>0</v>
      </c>
      <c r="V97" s="107">
        <v>0</v>
      </c>
      <c r="W97" s="112">
        <v>0</v>
      </c>
      <c r="X97" s="107">
        <v>163414</v>
      </c>
      <c r="Y97" s="112">
        <v>245239.3</v>
      </c>
      <c r="Z97" s="107">
        <v>409310.90405587119</v>
      </c>
      <c r="AA97" s="112">
        <v>1560660.9359441288</v>
      </c>
      <c r="AB97" s="107">
        <v>39.064055871218443</v>
      </c>
      <c r="AC97" s="112">
        <v>1560700</v>
      </c>
      <c r="AD97" s="28" t="s">
        <v>181</v>
      </c>
      <c r="AE97" s="68" t="s">
        <v>466</v>
      </c>
      <c r="AF97" s="16" t="s">
        <v>73</v>
      </c>
      <c r="AG97" s="4" t="b">
        <f t="shared" si="1"/>
        <v>1</v>
      </c>
    </row>
    <row r="98" spans="1:33" x14ac:dyDescent="0.2">
      <c r="A98" s="14">
        <v>90</v>
      </c>
      <c r="B98" s="28" t="s">
        <v>75</v>
      </c>
      <c r="C98" s="14" t="s">
        <v>719</v>
      </c>
      <c r="D98" s="14">
        <v>22</v>
      </c>
      <c r="E98" s="14">
        <v>0</v>
      </c>
      <c r="F98" s="14">
        <v>0</v>
      </c>
      <c r="G98" s="58" t="s">
        <v>629</v>
      </c>
      <c r="H98" s="107"/>
      <c r="I98" s="112"/>
      <c r="J98" s="107">
        <v>1673624.69</v>
      </c>
      <c r="K98" s="112">
        <v>0</v>
      </c>
      <c r="L98" s="107">
        <v>0</v>
      </c>
      <c r="M98" s="112">
        <v>94804.73</v>
      </c>
      <c r="N98" s="107">
        <v>165616.15</v>
      </c>
      <c r="O98" s="112">
        <v>130731</v>
      </c>
      <c r="P98" s="107">
        <v>0</v>
      </c>
      <c r="Q98" s="112">
        <v>2064776.5699999998</v>
      </c>
      <c r="R98" s="107">
        <v>0</v>
      </c>
      <c r="S98" s="112">
        <v>0</v>
      </c>
      <c r="T98" s="107">
        <v>0</v>
      </c>
      <c r="U98" s="112">
        <v>0</v>
      </c>
      <c r="V98" s="107">
        <v>0</v>
      </c>
      <c r="W98" s="112">
        <v>0</v>
      </c>
      <c r="X98" s="107">
        <v>163414</v>
      </c>
      <c r="Y98" s="112">
        <v>245239.3</v>
      </c>
      <c r="Z98" s="107">
        <v>408653.3</v>
      </c>
      <c r="AA98" s="112">
        <v>1656123.2699999998</v>
      </c>
      <c r="AB98" s="107">
        <v>76.730000000214204</v>
      </c>
      <c r="AC98" s="112">
        <v>1656200</v>
      </c>
      <c r="AD98" s="28" t="s">
        <v>183</v>
      </c>
      <c r="AE98" s="68" t="s">
        <v>436</v>
      </c>
      <c r="AF98" s="16" t="s">
        <v>75</v>
      </c>
      <c r="AG98" s="4" t="b">
        <f t="shared" si="1"/>
        <v>1</v>
      </c>
    </row>
    <row r="99" spans="1:33" x14ac:dyDescent="0.2">
      <c r="A99" s="14">
        <v>91</v>
      </c>
      <c r="B99" s="28" t="s">
        <v>79</v>
      </c>
      <c r="C99" s="14" t="s">
        <v>720</v>
      </c>
      <c r="D99" s="14">
        <v>22</v>
      </c>
      <c r="E99" s="14">
        <v>0</v>
      </c>
      <c r="F99" s="14">
        <v>0</v>
      </c>
      <c r="G99" s="58" t="s">
        <v>614</v>
      </c>
      <c r="H99" s="107"/>
      <c r="I99" s="112"/>
      <c r="J99" s="107">
        <v>1673624.69</v>
      </c>
      <c r="K99" s="112">
        <v>0</v>
      </c>
      <c r="L99" s="107">
        <v>0</v>
      </c>
      <c r="M99" s="112">
        <v>0</v>
      </c>
      <c r="N99" s="107">
        <v>165616.15</v>
      </c>
      <c r="O99" s="112">
        <v>130731</v>
      </c>
      <c r="P99" s="107">
        <v>0</v>
      </c>
      <c r="Q99" s="112">
        <v>1969971.8399999999</v>
      </c>
      <c r="R99" s="107">
        <v>30</v>
      </c>
      <c r="S99" s="112">
        <v>2818.3030965909088</v>
      </c>
      <c r="T99" s="107">
        <v>0</v>
      </c>
      <c r="U99" s="112">
        <v>0</v>
      </c>
      <c r="V99" s="107">
        <v>0</v>
      </c>
      <c r="W99" s="112">
        <v>0</v>
      </c>
      <c r="X99" s="107">
        <v>163414</v>
      </c>
      <c r="Y99" s="112">
        <v>245239.3</v>
      </c>
      <c r="Z99" s="107">
        <v>411471.6030965909</v>
      </c>
      <c r="AA99" s="112">
        <v>1558500.236903409</v>
      </c>
      <c r="AB99" s="107">
        <v>99.763096590992063</v>
      </c>
      <c r="AC99" s="112">
        <v>1558600</v>
      </c>
      <c r="AD99" s="28" t="s">
        <v>185</v>
      </c>
      <c r="AE99" s="68" t="s">
        <v>467</v>
      </c>
      <c r="AF99" s="16" t="s">
        <v>79</v>
      </c>
      <c r="AG99" s="4" t="b">
        <f t="shared" si="1"/>
        <v>1</v>
      </c>
    </row>
    <row r="100" spans="1:33" x14ac:dyDescent="0.2">
      <c r="A100" s="14">
        <v>92</v>
      </c>
      <c r="B100" s="28" t="s">
        <v>91</v>
      </c>
      <c r="C100" s="14" t="s">
        <v>721</v>
      </c>
      <c r="D100" s="14">
        <v>22</v>
      </c>
      <c r="E100" s="14">
        <v>0</v>
      </c>
      <c r="F100" s="14">
        <v>0</v>
      </c>
      <c r="G100" s="58" t="s">
        <v>637</v>
      </c>
      <c r="H100" s="107"/>
      <c r="I100" s="112"/>
      <c r="J100" s="107">
        <v>1673624.69</v>
      </c>
      <c r="K100" s="112">
        <v>0</v>
      </c>
      <c r="L100" s="107">
        <v>0</v>
      </c>
      <c r="M100" s="112">
        <v>798757.84954545461</v>
      </c>
      <c r="N100" s="107">
        <v>165616.15</v>
      </c>
      <c r="O100" s="112">
        <v>130731</v>
      </c>
      <c r="P100" s="107">
        <v>0</v>
      </c>
      <c r="Q100" s="112">
        <v>2768729.6895454545</v>
      </c>
      <c r="R100" s="107">
        <v>204</v>
      </c>
      <c r="S100" s="112">
        <v>19164.461056818182</v>
      </c>
      <c r="T100" s="107">
        <v>0</v>
      </c>
      <c r="U100" s="112">
        <v>0</v>
      </c>
      <c r="V100" s="107">
        <v>0</v>
      </c>
      <c r="W100" s="112">
        <v>0</v>
      </c>
      <c r="X100" s="107">
        <v>163414</v>
      </c>
      <c r="Y100" s="112">
        <v>245239.3</v>
      </c>
      <c r="Z100" s="107">
        <v>427817.76105681818</v>
      </c>
      <c r="AA100" s="112">
        <v>2340911.9284886364</v>
      </c>
      <c r="AB100" s="107">
        <v>88.071511363610625</v>
      </c>
      <c r="AC100" s="112">
        <v>2341000</v>
      </c>
      <c r="AD100" s="28" t="s">
        <v>187</v>
      </c>
      <c r="AE100" s="68" t="s">
        <v>555</v>
      </c>
      <c r="AF100" s="16" t="s">
        <v>91</v>
      </c>
      <c r="AG100" s="4" t="b">
        <f t="shared" si="1"/>
        <v>1</v>
      </c>
    </row>
    <row r="101" spans="1:33" x14ac:dyDescent="0.2">
      <c r="A101" s="14">
        <v>93</v>
      </c>
      <c r="B101" s="28" t="s">
        <v>95</v>
      </c>
      <c r="C101" s="14" t="s">
        <v>722</v>
      </c>
      <c r="D101" s="14">
        <v>22</v>
      </c>
      <c r="E101" s="14">
        <v>0</v>
      </c>
      <c r="F101" s="14">
        <v>0</v>
      </c>
      <c r="G101" s="58" t="s">
        <v>637</v>
      </c>
      <c r="H101" s="107"/>
      <c r="I101" s="112"/>
      <c r="J101" s="107">
        <v>1673624.69</v>
      </c>
      <c r="K101" s="112">
        <v>0</v>
      </c>
      <c r="L101" s="107">
        <v>0</v>
      </c>
      <c r="M101" s="112">
        <v>608576</v>
      </c>
      <c r="N101" s="107">
        <v>165616.15</v>
      </c>
      <c r="O101" s="112">
        <v>130731</v>
      </c>
      <c r="P101" s="107">
        <v>0</v>
      </c>
      <c r="Q101" s="112">
        <v>2578547.84</v>
      </c>
      <c r="R101" s="107">
        <v>0</v>
      </c>
      <c r="S101" s="112">
        <v>0</v>
      </c>
      <c r="T101" s="107">
        <v>0</v>
      </c>
      <c r="U101" s="112">
        <v>0</v>
      </c>
      <c r="V101" s="107">
        <v>0</v>
      </c>
      <c r="W101" s="112">
        <v>0</v>
      </c>
      <c r="X101" s="107">
        <v>163414</v>
      </c>
      <c r="Y101" s="112">
        <v>245239.3</v>
      </c>
      <c r="Z101" s="107">
        <v>408653.3</v>
      </c>
      <c r="AA101" s="112">
        <v>2169894.54</v>
      </c>
      <c r="AB101" s="107">
        <v>5.4599999999627471</v>
      </c>
      <c r="AC101" s="112">
        <v>2169900</v>
      </c>
      <c r="AD101" s="28" t="s">
        <v>189</v>
      </c>
      <c r="AE101" s="68" t="s">
        <v>556</v>
      </c>
      <c r="AF101" s="16" t="s">
        <v>95</v>
      </c>
      <c r="AG101" s="4" t="b">
        <f t="shared" si="1"/>
        <v>1</v>
      </c>
    </row>
    <row r="102" spans="1:33" x14ac:dyDescent="0.2">
      <c r="A102" s="14">
        <v>94</v>
      </c>
      <c r="B102" s="28" t="s">
        <v>97</v>
      </c>
      <c r="C102" s="14" t="s">
        <v>723</v>
      </c>
      <c r="D102" s="14">
        <v>22</v>
      </c>
      <c r="E102" s="14">
        <v>0</v>
      </c>
      <c r="F102" s="14">
        <v>0</v>
      </c>
      <c r="G102" s="58" t="s">
        <v>641</v>
      </c>
      <c r="H102" s="107"/>
      <c r="I102" s="112"/>
      <c r="J102" s="107">
        <v>1802365.05</v>
      </c>
      <c r="K102" s="112">
        <v>0</v>
      </c>
      <c r="L102" s="107">
        <v>0</v>
      </c>
      <c r="M102" s="112">
        <v>126169.11999999998</v>
      </c>
      <c r="N102" s="107">
        <v>165616.15</v>
      </c>
      <c r="O102" s="112">
        <v>130731</v>
      </c>
      <c r="P102" s="107">
        <v>0</v>
      </c>
      <c r="Q102" s="112">
        <v>2224881.3199999998</v>
      </c>
      <c r="R102" s="107">
        <v>94</v>
      </c>
      <c r="S102" s="112">
        <v>9976.6673011363637</v>
      </c>
      <c r="T102" s="107">
        <v>0</v>
      </c>
      <c r="U102" s="112">
        <v>0</v>
      </c>
      <c r="V102" s="107">
        <v>0</v>
      </c>
      <c r="W102" s="112">
        <v>0</v>
      </c>
      <c r="X102" s="107">
        <v>163414</v>
      </c>
      <c r="Y102" s="112">
        <v>245239.3</v>
      </c>
      <c r="Z102" s="107">
        <v>418629.96730113635</v>
      </c>
      <c r="AA102" s="112">
        <v>1806251.3526988635</v>
      </c>
      <c r="AB102" s="107">
        <v>48.647301136516035</v>
      </c>
      <c r="AC102" s="112">
        <v>1806300</v>
      </c>
      <c r="AD102" s="28" t="s">
        <v>190</v>
      </c>
      <c r="AE102" s="68" t="s">
        <v>438</v>
      </c>
      <c r="AF102" s="16" t="s">
        <v>97</v>
      </c>
      <c r="AG102" s="4" t="b">
        <f t="shared" si="1"/>
        <v>1</v>
      </c>
    </row>
    <row r="103" spans="1:33" x14ac:dyDescent="0.2">
      <c r="A103" s="14">
        <v>95</v>
      </c>
      <c r="B103" s="28" t="s">
        <v>859</v>
      </c>
      <c r="C103" s="14" t="s">
        <v>724</v>
      </c>
      <c r="D103" s="14">
        <v>22</v>
      </c>
      <c r="E103" s="14">
        <v>0</v>
      </c>
      <c r="F103" s="14">
        <v>0</v>
      </c>
      <c r="G103" s="58" t="s">
        <v>643</v>
      </c>
      <c r="H103" s="107"/>
      <c r="I103" s="112"/>
      <c r="J103" s="107">
        <v>2188586.14</v>
      </c>
      <c r="K103" s="112">
        <v>0</v>
      </c>
      <c r="L103" s="107">
        <v>0</v>
      </c>
      <c r="M103" s="112">
        <v>0</v>
      </c>
      <c r="N103" s="107">
        <v>165616.15</v>
      </c>
      <c r="O103" s="112">
        <v>130731</v>
      </c>
      <c r="P103" s="107">
        <v>0</v>
      </c>
      <c r="Q103" s="112">
        <v>2484933.29</v>
      </c>
      <c r="R103" s="107">
        <v>117</v>
      </c>
      <c r="S103" s="112">
        <v>16696.920869318183</v>
      </c>
      <c r="T103" s="107">
        <v>0</v>
      </c>
      <c r="U103" s="112">
        <v>0</v>
      </c>
      <c r="V103" s="107">
        <v>0</v>
      </c>
      <c r="W103" s="112">
        <v>0</v>
      </c>
      <c r="X103" s="107">
        <v>163414</v>
      </c>
      <c r="Y103" s="112">
        <v>245239.3</v>
      </c>
      <c r="Z103" s="107">
        <v>425350.22086931817</v>
      </c>
      <c r="AA103" s="112">
        <v>2059583.0691306819</v>
      </c>
      <c r="AB103" s="107">
        <v>16.930869318079203</v>
      </c>
      <c r="AC103" s="112">
        <v>2059600</v>
      </c>
      <c r="AD103" s="28" t="s">
        <v>191</v>
      </c>
      <c r="AE103" s="68" t="s">
        <v>541</v>
      </c>
      <c r="AF103" s="16" t="s">
        <v>859</v>
      </c>
      <c r="AG103" s="4" t="b">
        <f t="shared" si="1"/>
        <v>1</v>
      </c>
    </row>
    <row r="104" spans="1:33" x14ac:dyDescent="0.2">
      <c r="A104" s="14">
        <v>96</v>
      </c>
      <c r="B104" s="28" t="s">
        <v>101</v>
      </c>
      <c r="C104" s="14" t="s">
        <v>725</v>
      </c>
      <c r="D104" s="14">
        <v>22</v>
      </c>
      <c r="E104" s="14">
        <v>0</v>
      </c>
      <c r="F104" s="14">
        <v>0</v>
      </c>
      <c r="G104" s="58" t="s">
        <v>642</v>
      </c>
      <c r="H104" s="107"/>
      <c r="I104" s="112"/>
      <c r="J104" s="107">
        <v>1673624.69</v>
      </c>
      <c r="K104" s="112">
        <v>0</v>
      </c>
      <c r="L104" s="107">
        <v>0</v>
      </c>
      <c r="M104" s="112">
        <v>0</v>
      </c>
      <c r="N104" s="107">
        <v>165616.15</v>
      </c>
      <c r="O104" s="112">
        <v>130731</v>
      </c>
      <c r="P104" s="107">
        <v>0</v>
      </c>
      <c r="Q104" s="112">
        <v>1969971.8399999999</v>
      </c>
      <c r="R104" s="107">
        <v>0</v>
      </c>
      <c r="S104" s="112">
        <v>0</v>
      </c>
      <c r="T104" s="107">
        <v>0</v>
      </c>
      <c r="U104" s="112">
        <v>0</v>
      </c>
      <c r="V104" s="107">
        <v>0</v>
      </c>
      <c r="W104" s="112">
        <v>0</v>
      </c>
      <c r="X104" s="107">
        <v>163414</v>
      </c>
      <c r="Y104" s="112">
        <v>245239.3</v>
      </c>
      <c r="Z104" s="107">
        <v>408653.3</v>
      </c>
      <c r="AA104" s="112">
        <v>1561318.5399999998</v>
      </c>
      <c r="AB104" s="107">
        <v>81.460000000195578</v>
      </c>
      <c r="AC104" s="112">
        <v>1561400</v>
      </c>
      <c r="AD104" s="28" t="s">
        <v>192</v>
      </c>
      <c r="AE104" s="68" t="s">
        <v>462</v>
      </c>
      <c r="AF104" s="16" t="s">
        <v>101</v>
      </c>
      <c r="AG104" s="4" t="b">
        <f t="shared" si="1"/>
        <v>1</v>
      </c>
    </row>
    <row r="105" spans="1:33" x14ac:dyDescent="0.2">
      <c r="A105" s="14">
        <v>97</v>
      </c>
      <c r="B105" s="28" t="s">
        <v>103</v>
      </c>
      <c r="C105" s="14" t="s">
        <v>726</v>
      </c>
      <c r="D105" s="14">
        <v>22</v>
      </c>
      <c r="E105" s="14">
        <v>0</v>
      </c>
      <c r="F105" s="14">
        <v>0</v>
      </c>
      <c r="G105" s="58" t="s">
        <v>618</v>
      </c>
      <c r="H105" s="107"/>
      <c r="I105" s="112"/>
      <c r="J105" s="107">
        <v>1673624.69</v>
      </c>
      <c r="K105" s="112">
        <v>0</v>
      </c>
      <c r="L105" s="107">
        <v>0</v>
      </c>
      <c r="M105" s="112">
        <v>160991.28410056813</v>
      </c>
      <c r="N105" s="107">
        <v>165616.15</v>
      </c>
      <c r="O105" s="112">
        <v>130731</v>
      </c>
      <c r="P105" s="107">
        <v>0</v>
      </c>
      <c r="Q105" s="112">
        <v>2130963.1241005678</v>
      </c>
      <c r="R105" s="107">
        <v>58</v>
      </c>
      <c r="S105" s="112">
        <v>5448.7193200757574</v>
      </c>
      <c r="T105" s="107">
        <v>0</v>
      </c>
      <c r="U105" s="112">
        <v>0</v>
      </c>
      <c r="V105" s="107">
        <v>0</v>
      </c>
      <c r="W105" s="112">
        <v>0</v>
      </c>
      <c r="X105" s="107">
        <v>163414</v>
      </c>
      <c r="Y105" s="112">
        <v>245239.3</v>
      </c>
      <c r="Z105" s="107">
        <v>414102.01932007575</v>
      </c>
      <c r="AA105" s="112">
        <v>1716861.1047804919</v>
      </c>
      <c r="AB105" s="107">
        <v>38.89521950809285</v>
      </c>
      <c r="AC105" s="112">
        <v>1716900</v>
      </c>
      <c r="AD105" s="28" t="s">
        <v>194</v>
      </c>
      <c r="AE105" s="68" t="s">
        <v>509</v>
      </c>
      <c r="AF105" s="16" t="s">
        <v>103</v>
      </c>
      <c r="AG105" s="4" t="b">
        <f t="shared" si="1"/>
        <v>1</v>
      </c>
    </row>
    <row r="106" spans="1:33" x14ac:dyDescent="0.2">
      <c r="A106" s="14">
        <v>98</v>
      </c>
      <c r="B106" s="28" t="s">
        <v>105</v>
      </c>
      <c r="C106" s="14" t="s">
        <v>727</v>
      </c>
      <c r="D106" s="14">
        <v>22</v>
      </c>
      <c r="E106" s="14">
        <v>0</v>
      </c>
      <c r="F106" s="14">
        <v>0</v>
      </c>
      <c r="G106" s="58" t="s">
        <v>643</v>
      </c>
      <c r="H106" s="107"/>
      <c r="I106" s="112"/>
      <c r="J106" s="107">
        <v>2188586.14</v>
      </c>
      <c r="K106" s="112">
        <v>0</v>
      </c>
      <c r="L106" s="107">
        <v>0</v>
      </c>
      <c r="M106" s="112">
        <v>0</v>
      </c>
      <c r="N106" s="107">
        <v>165616.15</v>
      </c>
      <c r="O106" s="112">
        <v>130731</v>
      </c>
      <c r="P106" s="107">
        <v>0</v>
      </c>
      <c r="Q106" s="112">
        <v>2484933.29</v>
      </c>
      <c r="R106" s="107">
        <v>17</v>
      </c>
      <c r="S106" s="112">
        <v>2426.0483314393941</v>
      </c>
      <c r="T106" s="107">
        <v>0</v>
      </c>
      <c r="U106" s="112">
        <v>0</v>
      </c>
      <c r="V106" s="107">
        <v>0</v>
      </c>
      <c r="W106" s="112">
        <v>0</v>
      </c>
      <c r="X106" s="107">
        <v>163414</v>
      </c>
      <c r="Y106" s="112">
        <v>245239.3</v>
      </c>
      <c r="Z106" s="107">
        <v>411079.34833143943</v>
      </c>
      <c r="AA106" s="112">
        <v>2073853.9416685607</v>
      </c>
      <c r="AB106" s="107">
        <v>46.058331439271569</v>
      </c>
      <c r="AC106" s="112">
        <v>2073900</v>
      </c>
      <c r="AD106" s="28" t="s">
        <v>196</v>
      </c>
      <c r="AE106" s="68" t="s">
        <v>476</v>
      </c>
      <c r="AF106" s="16" t="s">
        <v>105</v>
      </c>
      <c r="AG106" s="4" t="b">
        <f t="shared" si="1"/>
        <v>1</v>
      </c>
    </row>
    <row r="107" spans="1:33" x14ac:dyDescent="0.2">
      <c r="A107" s="14">
        <v>99</v>
      </c>
      <c r="B107" s="28" t="s">
        <v>107</v>
      </c>
      <c r="C107" s="14" t="s">
        <v>728</v>
      </c>
      <c r="D107" s="14">
        <v>22</v>
      </c>
      <c r="E107" s="14">
        <v>0</v>
      </c>
      <c r="F107" s="14">
        <v>0</v>
      </c>
      <c r="G107" s="58" t="s">
        <v>632</v>
      </c>
      <c r="H107" s="107"/>
      <c r="I107" s="112"/>
      <c r="J107" s="107">
        <v>2188586.14</v>
      </c>
      <c r="K107" s="112">
        <v>0</v>
      </c>
      <c r="L107" s="107">
        <v>0</v>
      </c>
      <c r="M107" s="112">
        <v>99481.188181818186</v>
      </c>
      <c r="N107" s="107">
        <v>165616.15</v>
      </c>
      <c r="O107" s="112">
        <v>130731</v>
      </c>
      <c r="P107" s="107">
        <v>0</v>
      </c>
      <c r="Q107" s="112">
        <v>2584414.478181818</v>
      </c>
      <c r="R107" s="107">
        <v>0</v>
      </c>
      <c r="S107" s="112">
        <v>0</v>
      </c>
      <c r="T107" s="107">
        <v>0</v>
      </c>
      <c r="U107" s="112">
        <v>0</v>
      </c>
      <c r="V107" s="107">
        <v>0</v>
      </c>
      <c r="W107" s="112">
        <v>0</v>
      </c>
      <c r="X107" s="107">
        <v>163414</v>
      </c>
      <c r="Y107" s="112">
        <v>245239.3</v>
      </c>
      <c r="Z107" s="107">
        <v>408653.3</v>
      </c>
      <c r="AA107" s="112">
        <v>2175761.1781818182</v>
      </c>
      <c r="AB107" s="107">
        <v>38.821818181779236</v>
      </c>
      <c r="AC107" s="112">
        <v>2175800</v>
      </c>
      <c r="AD107" s="28" t="s">
        <v>198</v>
      </c>
      <c r="AE107" s="68" t="s">
        <v>515</v>
      </c>
      <c r="AF107" s="16" t="s">
        <v>107</v>
      </c>
      <c r="AG107" s="4" t="b">
        <f t="shared" si="1"/>
        <v>1</v>
      </c>
    </row>
    <row r="108" spans="1:33" x14ac:dyDescent="0.2">
      <c r="A108" s="14">
        <v>100</v>
      </c>
      <c r="B108" s="28" t="s">
        <v>111</v>
      </c>
      <c r="C108" s="14" t="s">
        <v>804</v>
      </c>
      <c r="D108" s="14">
        <v>22</v>
      </c>
      <c r="E108" s="14">
        <v>0</v>
      </c>
      <c r="F108" s="14">
        <v>0</v>
      </c>
      <c r="G108" s="58" t="s">
        <v>654</v>
      </c>
      <c r="H108" s="107"/>
      <c r="I108" s="112"/>
      <c r="J108" s="107">
        <v>1493388.19</v>
      </c>
      <c r="K108" s="112">
        <v>0</v>
      </c>
      <c r="L108" s="107">
        <v>0</v>
      </c>
      <c r="M108" s="112">
        <v>110307.08221590907</v>
      </c>
      <c r="N108" s="107">
        <v>165616.15</v>
      </c>
      <c r="O108" s="112">
        <v>130731</v>
      </c>
      <c r="P108" s="107">
        <v>0</v>
      </c>
      <c r="Q108" s="112">
        <v>1900042.422215909</v>
      </c>
      <c r="R108" s="107">
        <v>0</v>
      </c>
      <c r="S108" s="112">
        <v>0</v>
      </c>
      <c r="T108" s="107">
        <v>0</v>
      </c>
      <c r="U108" s="112">
        <v>0</v>
      </c>
      <c r="V108" s="107">
        <v>0</v>
      </c>
      <c r="W108" s="112">
        <v>0</v>
      </c>
      <c r="X108" s="107">
        <v>163414</v>
      </c>
      <c r="Y108" s="112">
        <v>245239.3</v>
      </c>
      <c r="Z108" s="107">
        <v>408653.3</v>
      </c>
      <c r="AA108" s="112">
        <v>1491389.122215909</v>
      </c>
      <c r="AB108" s="107">
        <v>10.877784091047943</v>
      </c>
      <c r="AC108" s="112">
        <v>1491400</v>
      </c>
      <c r="AD108" s="28" t="s">
        <v>200</v>
      </c>
      <c r="AE108" s="68" t="s">
        <v>512</v>
      </c>
      <c r="AF108" s="16" t="s">
        <v>111</v>
      </c>
      <c r="AG108" s="4" t="b">
        <f t="shared" si="1"/>
        <v>1</v>
      </c>
    </row>
    <row r="109" spans="1:33" x14ac:dyDescent="0.2">
      <c r="A109" s="14">
        <v>101</v>
      </c>
      <c r="B109" s="28" t="s">
        <v>112</v>
      </c>
      <c r="C109" s="14" t="s">
        <v>806</v>
      </c>
      <c r="D109" s="14">
        <v>22</v>
      </c>
      <c r="E109" s="14">
        <v>0</v>
      </c>
      <c r="F109" s="14">
        <v>0</v>
      </c>
      <c r="G109" s="58" t="s">
        <v>627</v>
      </c>
      <c r="H109" s="107"/>
      <c r="I109" s="112"/>
      <c r="J109" s="107">
        <v>2188586.14</v>
      </c>
      <c r="K109" s="112">
        <v>0</v>
      </c>
      <c r="L109" s="107">
        <v>0</v>
      </c>
      <c r="M109" s="112">
        <v>0</v>
      </c>
      <c r="N109" s="107">
        <v>165616.15</v>
      </c>
      <c r="O109" s="112">
        <v>0</v>
      </c>
      <c r="P109" s="107">
        <v>0</v>
      </c>
      <c r="Q109" s="112">
        <v>2354202.29</v>
      </c>
      <c r="R109" s="107">
        <v>46</v>
      </c>
      <c r="S109" s="112">
        <v>6564.6013674242431</v>
      </c>
      <c r="T109" s="107">
        <v>0</v>
      </c>
      <c r="U109" s="112">
        <v>0</v>
      </c>
      <c r="V109" s="107">
        <v>0</v>
      </c>
      <c r="W109" s="112">
        <v>0</v>
      </c>
      <c r="X109" s="107">
        <v>0</v>
      </c>
      <c r="Y109" s="112">
        <v>245239.3</v>
      </c>
      <c r="Z109" s="107">
        <v>251803.90136742423</v>
      </c>
      <c r="AA109" s="112">
        <v>2102398.388632576</v>
      </c>
      <c r="AB109" s="107">
        <v>1.611367424018681</v>
      </c>
      <c r="AC109" s="112">
        <v>2102400</v>
      </c>
      <c r="AD109" s="28" t="s">
        <v>202</v>
      </c>
      <c r="AE109" s="68" t="s">
        <v>542</v>
      </c>
      <c r="AF109" s="16" t="s">
        <v>112</v>
      </c>
      <c r="AG109" s="4" t="b">
        <f t="shared" si="1"/>
        <v>1</v>
      </c>
    </row>
    <row r="110" spans="1:33" x14ac:dyDescent="0.2">
      <c r="A110" s="14">
        <v>102</v>
      </c>
      <c r="B110" s="28" t="s">
        <v>114</v>
      </c>
      <c r="C110" s="14">
        <v>35136</v>
      </c>
      <c r="D110" s="14">
        <v>22</v>
      </c>
      <c r="E110" s="14">
        <v>0</v>
      </c>
      <c r="F110" s="14">
        <v>0</v>
      </c>
      <c r="G110" s="58" t="s">
        <v>640</v>
      </c>
      <c r="H110" s="107"/>
      <c r="I110" s="112"/>
      <c r="J110" s="107">
        <v>2188586.14</v>
      </c>
      <c r="K110" s="112">
        <v>0</v>
      </c>
      <c r="L110" s="107">
        <v>0</v>
      </c>
      <c r="M110" s="112">
        <v>0</v>
      </c>
      <c r="N110" s="107">
        <v>165616.15</v>
      </c>
      <c r="O110" s="112">
        <v>0</v>
      </c>
      <c r="P110" s="107">
        <v>0</v>
      </c>
      <c r="Q110" s="112">
        <v>2354202.29</v>
      </c>
      <c r="R110" s="107">
        <v>60</v>
      </c>
      <c r="S110" s="112">
        <v>8562.5235227272733</v>
      </c>
      <c r="T110" s="107">
        <v>0</v>
      </c>
      <c r="U110" s="112">
        <v>0</v>
      </c>
      <c r="V110" s="107">
        <v>0</v>
      </c>
      <c r="W110" s="112">
        <v>0</v>
      </c>
      <c r="X110" s="107">
        <v>0</v>
      </c>
      <c r="Y110" s="112">
        <v>245239.3</v>
      </c>
      <c r="Z110" s="107">
        <v>253801.82352272727</v>
      </c>
      <c r="AA110" s="112">
        <v>2100400.4664772726</v>
      </c>
      <c r="AB110" s="107">
        <v>99.533522727433592</v>
      </c>
      <c r="AC110" s="112">
        <v>2100500</v>
      </c>
      <c r="AD110" s="28" t="s">
        <v>204</v>
      </c>
      <c r="AE110" s="68" t="s">
        <v>500</v>
      </c>
      <c r="AF110" s="16" t="s">
        <v>114</v>
      </c>
      <c r="AG110" s="4" t="b">
        <f t="shared" si="1"/>
        <v>1</v>
      </c>
    </row>
    <row r="111" spans="1:33" x14ac:dyDescent="0.2">
      <c r="A111" s="14">
        <v>103</v>
      </c>
      <c r="B111" s="28" t="s">
        <v>116</v>
      </c>
      <c r="C111" s="14" t="s">
        <v>730</v>
      </c>
      <c r="D111" s="14">
        <v>22</v>
      </c>
      <c r="E111" s="14">
        <v>0</v>
      </c>
      <c r="F111" s="14">
        <v>0</v>
      </c>
      <c r="G111" s="58" t="s">
        <v>624</v>
      </c>
      <c r="H111" s="107"/>
      <c r="I111" s="112"/>
      <c r="J111" s="107">
        <v>2188586.14</v>
      </c>
      <c r="K111" s="112">
        <v>0</v>
      </c>
      <c r="L111" s="107">
        <v>0</v>
      </c>
      <c r="M111" s="112">
        <v>0</v>
      </c>
      <c r="N111" s="107">
        <v>165616.15</v>
      </c>
      <c r="O111" s="112">
        <v>130731</v>
      </c>
      <c r="P111" s="107">
        <v>0</v>
      </c>
      <c r="Q111" s="112">
        <v>2484933.29</v>
      </c>
      <c r="R111" s="107">
        <v>49</v>
      </c>
      <c r="S111" s="112">
        <v>6992.727543560607</v>
      </c>
      <c r="T111" s="107">
        <v>0</v>
      </c>
      <c r="U111" s="112">
        <v>0</v>
      </c>
      <c r="V111" s="107">
        <v>0</v>
      </c>
      <c r="W111" s="112">
        <v>0</v>
      </c>
      <c r="X111" s="107">
        <v>163414</v>
      </c>
      <c r="Y111" s="112">
        <v>245239.3</v>
      </c>
      <c r="Z111" s="107">
        <v>415646.0275435606</v>
      </c>
      <c r="AA111" s="112">
        <v>2069287.2624564394</v>
      </c>
      <c r="AB111" s="107">
        <v>12.737543560564518</v>
      </c>
      <c r="AC111" s="112">
        <v>2069300</v>
      </c>
      <c r="AD111" s="28" t="s">
        <v>206</v>
      </c>
      <c r="AE111" s="68" t="s">
        <v>521</v>
      </c>
      <c r="AF111" s="16" t="s">
        <v>116</v>
      </c>
      <c r="AG111" s="4" t="b">
        <f t="shared" si="1"/>
        <v>1</v>
      </c>
    </row>
    <row r="112" spans="1:33" x14ac:dyDescent="0.2">
      <c r="A112" s="14">
        <v>104</v>
      </c>
      <c r="B112" s="28" t="s">
        <v>118</v>
      </c>
      <c r="C112" s="14" t="s">
        <v>731</v>
      </c>
      <c r="D112" s="14">
        <v>22</v>
      </c>
      <c r="E112" s="14">
        <v>0</v>
      </c>
      <c r="F112" s="14">
        <v>0</v>
      </c>
      <c r="G112" s="58" t="s">
        <v>632</v>
      </c>
      <c r="H112" s="107"/>
      <c r="I112" s="112"/>
      <c r="J112" s="107">
        <v>2188586.14</v>
      </c>
      <c r="K112" s="112">
        <v>0</v>
      </c>
      <c r="L112" s="107">
        <v>0</v>
      </c>
      <c r="M112" s="112">
        <v>0</v>
      </c>
      <c r="N112" s="107">
        <v>165616.15</v>
      </c>
      <c r="O112" s="112">
        <v>130731</v>
      </c>
      <c r="P112" s="107">
        <v>0</v>
      </c>
      <c r="Q112" s="112">
        <v>2484933.29</v>
      </c>
      <c r="R112" s="107">
        <v>22</v>
      </c>
      <c r="S112" s="112">
        <v>3139.5919583333334</v>
      </c>
      <c r="T112" s="107">
        <v>0</v>
      </c>
      <c r="U112" s="112">
        <v>0</v>
      </c>
      <c r="V112" s="107">
        <v>0</v>
      </c>
      <c r="W112" s="112">
        <v>0</v>
      </c>
      <c r="X112" s="107">
        <v>163414</v>
      </c>
      <c r="Y112" s="112">
        <v>245239.3</v>
      </c>
      <c r="Z112" s="107">
        <v>411792.89195833332</v>
      </c>
      <c r="AA112" s="112">
        <v>2073140.3980416667</v>
      </c>
      <c r="AB112" s="107">
        <v>59.6019583332818</v>
      </c>
      <c r="AC112" s="112">
        <v>2073200</v>
      </c>
      <c r="AD112" s="28" t="s">
        <v>208</v>
      </c>
      <c r="AE112" s="68" t="s">
        <v>516</v>
      </c>
      <c r="AF112" s="16" t="s">
        <v>118</v>
      </c>
      <c r="AG112" s="4" t="b">
        <f t="shared" si="1"/>
        <v>1</v>
      </c>
    </row>
    <row r="113" spans="1:37" x14ac:dyDescent="0.2">
      <c r="A113" s="14">
        <v>105</v>
      </c>
      <c r="B113" s="28" t="s">
        <v>120</v>
      </c>
      <c r="C113" s="14" t="s">
        <v>732</v>
      </c>
      <c r="D113" s="14">
        <v>22</v>
      </c>
      <c r="E113" s="14">
        <v>0</v>
      </c>
      <c r="F113" s="14">
        <v>0</v>
      </c>
      <c r="G113" s="58" t="s">
        <v>637</v>
      </c>
      <c r="H113" s="107"/>
      <c r="I113" s="112"/>
      <c r="J113" s="107">
        <v>1673624.69</v>
      </c>
      <c r="K113" s="112">
        <v>0</v>
      </c>
      <c r="L113" s="107">
        <v>0</v>
      </c>
      <c r="M113" s="112">
        <v>798757.84954545461</v>
      </c>
      <c r="N113" s="107">
        <v>165616.15</v>
      </c>
      <c r="O113" s="112">
        <v>130731</v>
      </c>
      <c r="P113" s="107">
        <v>0</v>
      </c>
      <c r="Q113" s="112">
        <v>2768729.6895454545</v>
      </c>
      <c r="R113" s="107">
        <v>122</v>
      </c>
      <c r="S113" s="112">
        <v>11461.099259469696</v>
      </c>
      <c r="T113" s="107">
        <v>0</v>
      </c>
      <c r="U113" s="112">
        <v>0</v>
      </c>
      <c r="V113" s="107">
        <v>0</v>
      </c>
      <c r="W113" s="112">
        <v>0</v>
      </c>
      <c r="X113" s="107">
        <v>163414</v>
      </c>
      <c r="Y113" s="112">
        <v>245239.3</v>
      </c>
      <c r="Z113" s="107">
        <v>420114.3992594697</v>
      </c>
      <c r="AA113" s="112">
        <v>2348615.290285985</v>
      </c>
      <c r="AB113" s="107">
        <v>84.70971401501447</v>
      </c>
      <c r="AC113" s="112">
        <v>2348700</v>
      </c>
      <c r="AD113" s="28" t="s">
        <v>210</v>
      </c>
      <c r="AE113" s="68" t="s">
        <v>557</v>
      </c>
      <c r="AF113" s="16" t="s">
        <v>120</v>
      </c>
      <c r="AG113" s="4" t="b">
        <f t="shared" si="1"/>
        <v>1</v>
      </c>
    </row>
    <row r="114" spans="1:37" x14ac:dyDescent="0.2">
      <c r="A114" s="14">
        <v>106</v>
      </c>
      <c r="B114" s="28" t="s">
        <v>122</v>
      </c>
      <c r="C114" s="14" t="s">
        <v>733</v>
      </c>
      <c r="D114" s="14">
        <v>22</v>
      </c>
      <c r="E114" s="14">
        <v>0</v>
      </c>
      <c r="F114" s="14">
        <v>0</v>
      </c>
      <c r="G114" s="58" t="s">
        <v>631</v>
      </c>
      <c r="H114" s="107"/>
      <c r="I114" s="112"/>
      <c r="J114" s="107">
        <v>1673624.69</v>
      </c>
      <c r="K114" s="112"/>
      <c r="L114" s="107">
        <v>0</v>
      </c>
      <c r="M114" s="112">
        <v>114300.95894204546</v>
      </c>
      <c r="N114" s="107">
        <v>165616.15</v>
      </c>
      <c r="O114" s="112">
        <v>130731</v>
      </c>
      <c r="P114" s="107">
        <v>0</v>
      </c>
      <c r="Q114" s="112">
        <v>2084272.7989420453</v>
      </c>
      <c r="R114" s="107">
        <v>27</v>
      </c>
      <c r="S114" s="112">
        <v>2536.4727869318181</v>
      </c>
      <c r="T114" s="107">
        <v>0</v>
      </c>
      <c r="U114" s="112">
        <v>0</v>
      </c>
      <c r="V114" s="107">
        <v>0</v>
      </c>
      <c r="W114" s="112">
        <v>0</v>
      </c>
      <c r="X114" s="107">
        <v>163414</v>
      </c>
      <c r="Y114" s="112">
        <v>245239.3</v>
      </c>
      <c r="Z114" s="107">
        <v>411189.77278693183</v>
      </c>
      <c r="AA114" s="112">
        <v>1673083.0261551135</v>
      </c>
      <c r="AB114" s="107">
        <v>16.973844886524603</v>
      </c>
      <c r="AC114" s="112">
        <v>1673100</v>
      </c>
      <c r="AD114" s="28" t="s">
        <v>212</v>
      </c>
      <c r="AE114" s="68" t="s">
        <v>532</v>
      </c>
      <c r="AF114" s="16" t="s">
        <v>122</v>
      </c>
      <c r="AG114" s="4" t="b">
        <f t="shared" si="1"/>
        <v>1</v>
      </c>
    </row>
    <row r="115" spans="1:37" x14ac:dyDescent="0.2">
      <c r="A115" s="14">
        <v>107</v>
      </c>
      <c r="B115" s="28" t="s">
        <v>124</v>
      </c>
      <c r="C115" s="14" t="s">
        <v>734</v>
      </c>
      <c r="D115" s="14">
        <v>22</v>
      </c>
      <c r="E115" s="14">
        <v>0</v>
      </c>
      <c r="F115" s="14">
        <v>0</v>
      </c>
      <c r="G115" s="58" t="s">
        <v>637</v>
      </c>
      <c r="H115" s="107"/>
      <c r="I115" s="112"/>
      <c r="J115" s="107">
        <v>1673624.69</v>
      </c>
      <c r="K115" s="112">
        <v>0</v>
      </c>
      <c r="L115" s="107">
        <v>0</v>
      </c>
      <c r="M115" s="112">
        <v>684649.84954545461</v>
      </c>
      <c r="N115" s="107">
        <v>165616.15</v>
      </c>
      <c r="O115" s="112">
        <v>130731</v>
      </c>
      <c r="P115" s="107">
        <v>0</v>
      </c>
      <c r="Q115" s="112">
        <v>2654621.6895454545</v>
      </c>
      <c r="R115" s="107">
        <v>3</v>
      </c>
      <c r="S115" s="112">
        <v>281.83030965909086</v>
      </c>
      <c r="T115" s="107">
        <v>0</v>
      </c>
      <c r="U115" s="112">
        <v>0</v>
      </c>
      <c r="V115" s="107">
        <v>0</v>
      </c>
      <c r="W115" s="112">
        <v>0</v>
      </c>
      <c r="X115" s="107">
        <v>163414</v>
      </c>
      <c r="Y115" s="112">
        <v>245239.3</v>
      </c>
      <c r="Z115" s="107">
        <v>408935.13030965906</v>
      </c>
      <c r="AA115" s="112">
        <v>2245686.5592357954</v>
      </c>
      <c r="AB115" s="107">
        <v>13.440764204598963</v>
      </c>
      <c r="AC115" s="112">
        <v>2245700</v>
      </c>
      <c r="AD115" s="28" t="s">
        <v>214</v>
      </c>
      <c r="AE115" s="68" t="s">
        <v>558</v>
      </c>
      <c r="AF115" s="16" t="s">
        <v>124</v>
      </c>
      <c r="AG115" s="4" t="b">
        <f t="shared" si="1"/>
        <v>1</v>
      </c>
    </row>
    <row r="116" spans="1:37" x14ac:dyDescent="0.2">
      <c r="A116" s="14">
        <v>108</v>
      </c>
      <c r="B116" s="28" t="s">
        <v>125</v>
      </c>
      <c r="C116" s="14" t="s">
        <v>735</v>
      </c>
      <c r="D116" s="14">
        <v>22</v>
      </c>
      <c r="E116" s="14">
        <v>0</v>
      </c>
      <c r="F116" s="14">
        <v>0</v>
      </c>
      <c r="G116" s="58" t="s">
        <v>642</v>
      </c>
      <c r="H116" s="107"/>
      <c r="I116" s="112"/>
      <c r="J116" s="107">
        <v>1673624.69</v>
      </c>
      <c r="K116" s="112">
        <v>0</v>
      </c>
      <c r="L116" s="107">
        <v>0</v>
      </c>
      <c r="M116" s="112">
        <v>0</v>
      </c>
      <c r="N116" s="107">
        <v>165616.15</v>
      </c>
      <c r="O116" s="112">
        <v>130731</v>
      </c>
      <c r="P116" s="107">
        <v>0</v>
      </c>
      <c r="Q116" s="112">
        <v>1969971.8399999999</v>
      </c>
      <c r="R116" s="107">
        <v>0</v>
      </c>
      <c r="S116" s="112">
        <v>0</v>
      </c>
      <c r="T116" s="107">
        <v>0</v>
      </c>
      <c r="U116" s="112">
        <v>0</v>
      </c>
      <c r="V116" s="107">
        <v>0</v>
      </c>
      <c r="W116" s="112">
        <v>0</v>
      </c>
      <c r="X116" s="107">
        <v>163414</v>
      </c>
      <c r="Y116" s="112">
        <v>245239.3</v>
      </c>
      <c r="Z116" s="107">
        <v>408653.3</v>
      </c>
      <c r="AA116" s="112">
        <v>1561318.5399999998</v>
      </c>
      <c r="AB116" s="107">
        <v>81.460000000195578</v>
      </c>
      <c r="AC116" s="112">
        <v>1561400</v>
      </c>
      <c r="AD116" s="28" t="s">
        <v>215</v>
      </c>
      <c r="AE116" s="68" t="s">
        <v>588</v>
      </c>
      <c r="AF116" s="16" t="s">
        <v>125</v>
      </c>
      <c r="AG116" s="4" t="b">
        <f t="shared" si="1"/>
        <v>1</v>
      </c>
    </row>
    <row r="117" spans="1:37" x14ac:dyDescent="0.2">
      <c r="A117" s="14">
        <v>109</v>
      </c>
      <c r="B117" s="28" t="s">
        <v>129</v>
      </c>
      <c r="C117" s="14" t="s">
        <v>736</v>
      </c>
      <c r="D117" s="14">
        <v>22</v>
      </c>
      <c r="E117" s="14">
        <v>0</v>
      </c>
      <c r="F117" s="14">
        <v>0</v>
      </c>
      <c r="G117" s="58" t="s">
        <v>626</v>
      </c>
      <c r="H117" s="107"/>
      <c r="I117" s="112"/>
      <c r="J117" s="107">
        <v>2059845.78</v>
      </c>
      <c r="K117" s="112">
        <v>0</v>
      </c>
      <c r="L117" s="107">
        <v>0</v>
      </c>
      <c r="M117" s="112">
        <v>0</v>
      </c>
      <c r="N117" s="107">
        <v>165616.15</v>
      </c>
      <c r="O117" s="112">
        <v>130731</v>
      </c>
      <c r="P117" s="107">
        <v>0</v>
      </c>
      <c r="Q117" s="112">
        <v>2356192.9300000002</v>
      </c>
      <c r="R117" s="107">
        <v>153</v>
      </c>
      <c r="S117" s="112">
        <v>19969.16272159091</v>
      </c>
      <c r="T117" s="107">
        <v>0</v>
      </c>
      <c r="U117" s="112">
        <v>0</v>
      </c>
      <c r="V117" s="107">
        <v>0</v>
      </c>
      <c r="W117" s="112">
        <v>0</v>
      </c>
      <c r="X117" s="107">
        <v>163414</v>
      </c>
      <c r="Y117" s="112">
        <v>245239.3</v>
      </c>
      <c r="Z117" s="107">
        <v>428622.46272159088</v>
      </c>
      <c r="AA117" s="112">
        <v>1927570.4672784093</v>
      </c>
      <c r="AB117" s="107">
        <v>29.532721590716392</v>
      </c>
      <c r="AC117" s="112">
        <v>1927600</v>
      </c>
      <c r="AD117" s="28" t="s">
        <v>217</v>
      </c>
      <c r="AE117" s="68" t="s">
        <v>443</v>
      </c>
      <c r="AF117" s="16" t="s">
        <v>129</v>
      </c>
      <c r="AG117" s="4" t="b">
        <f t="shared" si="1"/>
        <v>1</v>
      </c>
    </row>
    <row r="118" spans="1:37" x14ac:dyDescent="0.2">
      <c r="A118" s="14">
        <v>110</v>
      </c>
      <c r="B118" s="28" t="s">
        <v>131</v>
      </c>
      <c r="C118" s="14" t="s">
        <v>737</v>
      </c>
      <c r="D118" s="14">
        <v>22</v>
      </c>
      <c r="E118" s="14">
        <v>0</v>
      </c>
      <c r="F118" s="14">
        <v>0</v>
      </c>
      <c r="G118" s="58" t="s">
        <v>633</v>
      </c>
      <c r="H118" s="107"/>
      <c r="I118" s="112"/>
      <c r="J118" s="107">
        <v>2188586.14</v>
      </c>
      <c r="K118" s="112">
        <v>0</v>
      </c>
      <c r="L118" s="107">
        <v>0</v>
      </c>
      <c r="M118" s="112">
        <v>198962</v>
      </c>
      <c r="N118" s="107">
        <v>165616.15</v>
      </c>
      <c r="O118" s="112">
        <v>130731</v>
      </c>
      <c r="P118" s="107">
        <v>0</v>
      </c>
      <c r="Q118" s="112">
        <v>2683895.29</v>
      </c>
      <c r="R118" s="107">
        <v>0</v>
      </c>
      <c r="S118" s="112">
        <v>0</v>
      </c>
      <c r="T118" s="107">
        <v>0</v>
      </c>
      <c r="U118" s="112">
        <v>0</v>
      </c>
      <c r="V118" s="107">
        <v>0</v>
      </c>
      <c r="W118" s="112">
        <v>0</v>
      </c>
      <c r="X118" s="107">
        <v>163414</v>
      </c>
      <c r="Y118" s="112">
        <v>245239.3</v>
      </c>
      <c r="Z118" s="107">
        <v>408653.3</v>
      </c>
      <c r="AA118" s="112">
        <v>2275241.9900000002</v>
      </c>
      <c r="AB118" s="107">
        <v>58.009999999776483</v>
      </c>
      <c r="AC118" s="112">
        <v>2275300</v>
      </c>
      <c r="AD118" s="28" t="s">
        <v>218</v>
      </c>
      <c r="AE118" s="68" t="s">
        <v>481</v>
      </c>
      <c r="AF118" s="16" t="s">
        <v>131</v>
      </c>
      <c r="AG118" s="4" t="b">
        <f t="shared" si="1"/>
        <v>1</v>
      </c>
    </row>
    <row r="119" spans="1:37" x14ac:dyDescent="0.2">
      <c r="A119" s="14">
        <v>111</v>
      </c>
      <c r="B119" s="28" t="s">
        <v>133</v>
      </c>
      <c r="C119" s="14" t="s">
        <v>738</v>
      </c>
      <c r="D119" s="14">
        <v>22</v>
      </c>
      <c r="E119" s="14">
        <v>0</v>
      </c>
      <c r="F119" s="14">
        <v>0</v>
      </c>
      <c r="G119" s="58" t="s">
        <v>616</v>
      </c>
      <c r="H119" s="107"/>
      <c r="I119" s="112"/>
      <c r="J119" s="107">
        <v>1493388.19</v>
      </c>
      <c r="K119" s="112">
        <v>0</v>
      </c>
      <c r="L119" s="107">
        <v>0</v>
      </c>
      <c r="M119" s="112">
        <v>0</v>
      </c>
      <c r="N119" s="107">
        <v>165616.15</v>
      </c>
      <c r="O119" s="112">
        <v>0</v>
      </c>
      <c r="P119" s="107">
        <v>0</v>
      </c>
      <c r="Q119" s="112">
        <v>1659004.3399999999</v>
      </c>
      <c r="R119" s="107">
        <v>51</v>
      </c>
      <c r="S119" s="112">
        <v>3920.6548948863633</v>
      </c>
      <c r="T119" s="107">
        <v>0</v>
      </c>
      <c r="U119" s="112">
        <v>0</v>
      </c>
      <c r="V119" s="107">
        <v>0</v>
      </c>
      <c r="W119" s="112">
        <v>0</v>
      </c>
      <c r="X119" s="107">
        <v>0</v>
      </c>
      <c r="Y119" s="112">
        <v>245239.3</v>
      </c>
      <c r="Z119" s="107">
        <v>249159.95489488635</v>
      </c>
      <c r="AA119" s="112">
        <v>1409844.3851051135</v>
      </c>
      <c r="AB119" s="107">
        <v>55.614894886501133</v>
      </c>
      <c r="AC119" s="112">
        <v>1409900</v>
      </c>
      <c r="AD119" s="28" t="s">
        <v>220</v>
      </c>
      <c r="AE119" s="68" t="s">
        <v>449</v>
      </c>
      <c r="AF119" s="16" t="s">
        <v>133</v>
      </c>
      <c r="AG119" s="4" t="b">
        <f t="shared" si="1"/>
        <v>1</v>
      </c>
    </row>
    <row r="120" spans="1:37" x14ac:dyDescent="0.2">
      <c r="A120" s="14">
        <v>112</v>
      </c>
      <c r="B120" s="28" t="s">
        <v>135</v>
      </c>
      <c r="C120" s="14" t="s">
        <v>739</v>
      </c>
      <c r="D120" s="14">
        <v>22</v>
      </c>
      <c r="E120" s="14">
        <v>0</v>
      </c>
      <c r="F120" s="14">
        <v>0</v>
      </c>
      <c r="G120" s="58" t="s">
        <v>644</v>
      </c>
      <c r="H120" s="107"/>
      <c r="I120" s="112"/>
      <c r="J120" s="107">
        <v>1673624.69</v>
      </c>
      <c r="K120" s="112">
        <v>0</v>
      </c>
      <c r="L120" s="107">
        <v>0</v>
      </c>
      <c r="M120" s="112">
        <v>25199.512499999986</v>
      </c>
      <c r="N120" s="107">
        <v>165616.15</v>
      </c>
      <c r="O120" s="112">
        <v>130731</v>
      </c>
      <c r="P120" s="107">
        <v>0</v>
      </c>
      <c r="Q120" s="112">
        <v>1995171.3524999998</v>
      </c>
      <c r="R120" s="107">
        <v>17</v>
      </c>
      <c r="S120" s="112">
        <v>1597.0384214015151</v>
      </c>
      <c r="T120" s="107">
        <v>0</v>
      </c>
      <c r="U120" s="112">
        <v>0</v>
      </c>
      <c r="V120" s="107">
        <v>0</v>
      </c>
      <c r="W120" s="112">
        <v>0</v>
      </c>
      <c r="X120" s="107">
        <v>163414</v>
      </c>
      <c r="Y120" s="112">
        <v>245239.3</v>
      </c>
      <c r="Z120" s="107">
        <v>410250.33842140151</v>
      </c>
      <c r="AA120" s="112">
        <v>1584921.0140785982</v>
      </c>
      <c r="AB120" s="107">
        <v>78.985921401763335</v>
      </c>
      <c r="AC120" s="112">
        <v>1585000</v>
      </c>
      <c r="AD120" s="28" t="s">
        <v>222</v>
      </c>
      <c r="AE120" s="68" t="s">
        <v>430</v>
      </c>
      <c r="AF120" s="16" t="s">
        <v>135</v>
      </c>
      <c r="AG120" s="4" t="b">
        <f t="shared" si="1"/>
        <v>1</v>
      </c>
    </row>
    <row r="121" spans="1:37" x14ac:dyDescent="0.2">
      <c r="A121" s="14">
        <v>113</v>
      </c>
      <c r="B121" s="28" t="s">
        <v>139</v>
      </c>
      <c r="C121" s="14" t="s">
        <v>740</v>
      </c>
      <c r="D121" s="14">
        <v>22</v>
      </c>
      <c r="E121" s="14">
        <v>0</v>
      </c>
      <c r="F121" s="14">
        <v>1</v>
      </c>
      <c r="G121" s="58" t="s">
        <v>645</v>
      </c>
      <c r="H121" s="107"/>
      <c r="I121" s="112"/>
      <c r="J121" s="107">
        <v>1673624.69</v>
      </c>
      <c r="K121" s="112">
        <v>0</v>
      </c>
      <c r="L121" s="107">
        <v>0</v>
      </c>
      <c r="M121" s="112">
        <v>0</v>
      </c>
      <c r="N121" s="107">
        <v>165616.15</v>
      </c>
      <c r="O121" s="112">
        <v>130731</v>
      </c>
      <c r="P121" s="107">
        <v>0</v>
      </c>
      <c r="Q121" s="112">
        <v>1969971.8399999999</v>
      </c>
      <c r="R121" s="107">
        <v>33</v>
      </c>
      <c r="S121" s="112">
        <v>3100.13340625</v>
      </c>
      <c r="T121" s="107">
        <v>0</v>
      </c>
      <c r="U121" s="112">
        <v>0</v>
      </c>
      <c r="V121" s="107">
        <v>0</v>
      </c>
      <c r="W121" s="112">
        <v>30981</v>
      </c>
      <c r="X121" s="107">
        <v>163414</v>
      </c>
      <c r="Y121" s="112">
        <v>245239.3</v>
      </c>
      <c r="Z121" s="107">
        <v>442734.43340624997</v>
      </c>
      <c r="AA121" s="112">
        <v>1527237.4065937498</v>
      </c>
      <c r="AB121" s="107">
        <v>62.593406250234693</v>
      </c>
      <c r="AC121" s="112">
        <v>1527300</v>
      </c>
      <c r="AD121" s="28" t="s">
        <v>224</v>
      </c>
      <c r="AE121" s="68" t="s">
        <v>409</v>
      </c>
      <c r="AF121" s="16" t="s">
        <v>139</v>
      </c>
      <c r="AG121" s="4" t="b">
        <f t="shared" si="1"/>
        <v>1</v>
      </c>
    </row>
    <row r="122" spans="1:37" x14ac:dyDescent="0.2">
      <c r="A122" s="14">
        <v>114</v>
      </c>
      <c r="B122" s="28" t="s">
        <v>309</v>
      </c>
      <c r="C122" s="14" t="s">
        <v>741</v>
      </c>
      <c r="D122" s="14">
        <v>22</v>
      </c>
      <c r="E122" s="14">
        <v>0</v>
      </c>
      <c r="F122" s="14">
        <v>0</v>
      </c>
      <c r="G122" s="58" t="s">
        <v>614</v>
      </c>
      <c r="H122" s="107"/>
      <c r="I122" s="112"/>
      <c r="J122" s="107">
        <v>1673624.69</v>
      </c>
      <c r="K122" s="112">
        <v>0</v>
      </c>
      <c r="L122" s="107">
        <v>0</v>
      </c>
      <c r="M122" s="112">
        <v>0</v>
      </c>
      <c r="N122" s="107">
        <v>165616.15</v>
      </c>
      <c r="O122" s="112">
        <v>130731</v>
      </c>
      <c r="P122" s="107">
        <v>0</v>
      </c>
      <c r="Q122" s="112">
        <v>1969971.8399999999</v>
      </c>
      <c r="R122" s="107">
        <v>25</v>
      </c>
      <c r="S122" s="112">
        <v>2348.5859138257574</v>
      </c>
      <c r="T122" s="107">
        <v>0</v>
      </c>
      <c r="U122" s="112">
        <v>0</v>
      </c>
      <c r="V122" s="107">
        <v>0</v>
      </c>
      <c r="W122" s="112">
        <v>0</v>
      </c>
      <c r="X122" s="107">
        <v>163414</v>
      </c>
      <c r="Y122" s="112">
        <v>245239.3</v>
      </c>
      <c r="Z122" s="107">
        <v>411001.88591382571</v>
      </c>
      <c r="AA122" s="112">
        <v>1558969.9540861743</v>
      </c>
      <c r="AB122" s="107">
        <v>30.0459138257429</v>
      </c>
      <c r="AC122" s="112">
        <v>1559000</v>
      </c>
      <c r="AD122" s="28" t="s">
        <v>226</v>
      </c>
      <c r="AE122" s="68" t="s">
        <v>830</v>
      </c>
      <c r="AF122" s="16" t="s">
        <v>309</v>
      </c>
      <c r="AG122" s="4" t="b">
        <f>B122=AF122</f>
        <v>1</v>
      </c>
    </row>
    <row r="123" spans="1:37" x14ac:dyDescent="0.2">
      <c r="A123" s="14">
        <v>115</v>
      </c>
      <c r="B123" s="28" t="s">
        <v>143</v>
      </c>
      <c r="C123" s="14" t="s">
        <v>743</v>
      </c>
      <c r="D123" s="14">
        <v>22</v>
      </c>
      <c r="E123" s="14">
        <v>0</v>
      </c>
      <c r="F123" s="14">
        <v>0</v>
      </c>
      <c r="G123" s="58" t="s">
        <v>624</v>
      </c>
      <c r="H123" s="107"/>
      <c r="I123" s="112"/>
      <c r="J123" s="107">
        <v>2188586.14</v>
      </c>
      <c r="K123" s="112">
        <v>0</v>
      </c>
      <c r="L123" s="107">
        <v>0</v>
      </c>
      <c r="M123" s="112">
        <v>0</v>
      </c>
      <c r="N123" s="107">
        <v>165616.15</v>
      </c>
      <c r="O123" s="112">
        <v>0</v>
      </c>
      <c r="P123" s="107">
        <v>0</v>
      </c>
      <c r="Q123" s="112">
        <v>2354202.29</v>
      </c>
      <c r="R123" s="107">
        <v>104</v>
      </c>
      <c r="S123" s="112">
        <v>14841.70743939394</v>
      </c>
      <c r="T123" s="107">
        <v>0</v>
      </c>
      <c r="U123" s="112">
        <v>0</v>
      </c>
      <c r="V123" s="107">
        <v>0</v>
      </c>
      <c r="W123" s="112">
        <v>0</v>
      </c>
      <c r="X123" s="107">
        <v>0</v>
      </c>
      <c r="Y123" s="112">
        <v>245239.3</v>
      </c>
      <c r="Z123" s="107">
        <v>260081.00743939393</v>
      </c>
      <c r="AA123" s="112">
        <v>2094121.282560606</v>
      </c>
      <c r="AB123" s="107">
        <v>78.717439393978566</v>
      </c>
      <c r="AC123" s="112">
        <v>2094200</v>
      </c>
      <c r="AD123" s="28" t="s">
        <v>227</v>
      </c>
      <c r="AE123" s="68" t="s">
        <v>522</v>
      </c>
      <c r="AF123" s="16" t="s">
        <v>143</v>
      </c>
      <c r="AG123" s="4" t="b">
        <f t="shared" ref="AG123:AG184" si="2">B123=AF123</f>
        <v>1</v>
      </c>
      <c r="AJ123" s="68" t="s">
        <v>477</v>
      </c>
      <c r="AK123" s="16" t="s">
        <v>141</v>
      </c>
    </row>
    <row r="124" spans="1:37" x14ac:dyDescent="0.2">
      <c r="A124" s="14">
        <v>116</v>
      </c>
      <c r="B124" s="28" t="s">
        <v>860</v>
      </c>
      <c r="C124" s="14" t="s">
        <v>744</v>
      </c>
      <c r="D124" s="14">
        <v>22</v>
      </c>
      <c r="E124" s="14">
        <v>0</v>
      </c>
      <c r="F124" s="14">
        <v>0</v>
      </c>
      <c r="G124" s="58" t="s">
        <v>624</v>
      </c>
      <c r="H124" s="107"/>
      <c r="I124" s="112"/>
      <c r="J124" s="107">
        <v>2188586.14</v>
      </c>
      <c r="K124" s="112">
        <v>0</v>
      </c>
      <c r="L124" s="107">
        <v>0</v>
      </c>
      <c r="M124" s="112">
        <v>0</v>
      </c>
      <c r="N124" s="107">
        <v>165616.15</v>
      </c>
      <c r="O124" s="112">
        <v>130731</v>
      </c>
      <c r="P124" s="107">
        <v>0</v>
      </c>
      <c r="Q124" s="112">
        <v>2484933.29</v>
      </c>
      <c r="R124" s="107">
        <v>122</v>
      </c>
      <c r="S124" s="112">
        <v>17410.464496212124</v>
      </c>
      <c r="T124" s="107">
        <v>0</v>
      </c>
      <c r="U124" s="112">
        <v>0</v>
      </c>
      <c r="V124" s="107">
        <v>0</v>
      </c>
      <c r="W124" s="112">
        <v>0</v>
      </c>
      <c r="X124" s="107">
        <v>163414</v>
      </c>
      <c r="Y124" s="112">
        <v>245239.3</v>
      </c>
      <c r="Z124" s="107">
        <v>426063.76449621213</v>
      </c>
      <c r="AA124" s="112">
        <v>2058869.5255037879</v>
      </c>
      <c r="AB124" s="107">
        <v>30.474496212089434</v>
      </c>
      <c r="AC124" s="112">
        <v>2058900</v>
      </c>
      <c r="AD124" s="28" t="s">
        <v>229</v>
      </c>
      <c r="AE124" s="68" t="s">
        <v>523</v>
      </c>
      <c r="AF124" s="16" t="s">
        <v>860</v>
      </c>
      <c r="AG124" s="4" t="b">
        <f t="shared" si="2"/>
        <v>1</v>
      </c>
    </row>
    <row r="125" spans="1:37" x14ac:dyDescent="0.2">
      <c r="A125" s="14">
        <v>117</v>
      </c>
      <c r="B125" s="28" t="s">
        <v>310</v>
      </c>
      <c r="C125" s="14" t="s">
        <v>745</v>
      </c>
      <c r="D125" s="14">
        <v>22</v>
      </c>
      <c r="E125" s="14">
        <v>0</v>
      </c>
      <c r="F125" s="14">
        <v>0</v>
      </c>
      <c r="G125" s="58" t="s">
        <v>627</v>
      </c>
      <c r="H125" s="107"/>
      <c r="I125" s="112"/>
      <c r="J125" s="107">
        <v>2188586.14</v>
      </c>
      <c r="K125" s="112">
        <v>0</v>
      </c>
      <c r="L125" s="107">
        <v>0</v>
      </c>
      <c r="M125" s="112">
        <v>214505.90625</v>
      </c>
      <c r="N125" s="107">
        <v>165616.15</v>
      </c>
      <c r="O125" s="112">
        <v>130731</v>
      </c>
      <c r="P125" s="107">
        <v>0</v>
      </c>
      <c r="Q125" s="112">
        <v>2699439.19625</v>
      </c>
      <c r="R125" s="107">
        <v>137</v>
      </c>
      <c r="S125" s="112">
        <v>19551.09537689394</v>
      </c>
      <c r="T125" s="107">
        <v>0</v>
      </c>
      <c r="U125" s="112">
        <v>0</v>
      </c>
      <c r="V125" s="107">
        <v>0</v>
      </c>
      <c r="W125" s="112">
        <v>0</v>
      </c>
      <c r="X125" s="107">
        <v>163414</v>
      </c>
      <c r="Y125" s="112">
        <v>245239.3</v>
      </c>
      <c r="Z125" s="107">
        <v>428204.39537689392</v>
      </c>
      <c r="AA125" s="112">
        <v>2271234.8008731063</v>
      </c>
      <c r="AB125" s="107">
        <v>65.199126893654466</v>
      </c>
      <c r="AC125" s="112">
        <v>2271300</v>
      </c>
      <c r="AD125" s="28" t="s">
        <v>231</v>
      </c>
      <c r="AE125" s="68" t="s">
        <v>824</v>
      </c>
      <c r="AF125" s="16" t="s">
        <v>310</v>
      </c>
      <c r="AG125" s="4" t="b">
        <f t="shared" si="2"/>
        <v>1</v>
      </c>
    </row>
    <row r="126" spans="1:37" x14ac:dyDescent="0.2">
      <c r="A126" s="14">
        <v>118</v>
      </c>
      <c r="B126" s="28" t="s">
        <v>150</v>
      </c>
      <c r="C126" s="14" t="s">
        <v>746</v>
      </c>
      <c r="D126" s="14">
        <v>22</v>
      </c>
      <c r="E126" s="14">
        <v>0</v>
      </c>
      <c r="F126" s="14">
        <v>0</v>
      </c>
      <c r="G126" s="58" t="s">
        <v>633</v>
      </c>
      <c r="H126" s="107"/>
      <c r="I126" s="112"/>
      <c r="J126" s="107">
        <v>2188586.14</v>
      </c>
      <c r="K126" s="112">
        <v>0</v>
      </c>
      <c r="L126" s="107">
        <v>0</v>
      </c>
      <c r="M126" s="112">
        <v>0</v>
      </c>
      <c r="N126" s="107">
        <v>165616.15</v>
      </c>
      <c r="O126" s="112">
        <v>130731</v>
      </c>
      <c r="P126" s="107">
        <v>0</v>
      </c>
      <c r="Q126" s="112">
        <v>2484933.29</v>
      </c>
      <c r="R126" s="107">
        <v>99</v>
      </c>
      <c r="S126" s="112">
        <v>14128.163812500001</v>
      </c>
      <c r="T126" s="107">
        <v>0</v>
      </c>
      <c r="U126" s="112">
        <v>0</v>
      </c>
      <c r="V126" s="107">
        <v>0</v>
      </c>
      <c r="W126" s="112">
        <v>0</v>
      </c>
      <c r="X126" s="107">
        <v>163414</v>
      </c>
      <c r="Y126" s="112">
        <v>245239.3</v>
      </c>
      <c r="Z126" s="107">
        <v>422781.46381250001</v>
      </c>
      <c r="AA126" s="112">
        <v>2062151.8261875</v>
      </c>
      <c r="AB126" s="107">
        <v>48.173812499968335</v>
      </c>
      <c r="AC126" s="112">
        <v>2062200</v>
      </c>
      <c r="AD126" s="28" t="s">
        <v>233</v>
      </c>
      <c r="AE126" s="68" t="s">
        <v>482</v>
      </c>
      <c r="AF126" s="16" t="s">
        <v>150</v>
      </c>
      <c r="AG126" s="4" t="b">
        <f t="shared" si="2"/>
        <v>1</v>
      </c>
    </row>
    <row r="127" spans="1:37" x14ac:dyDescent="0.2">
      <c r="A127" s="14">
        <v>119</v>
      </c>
      <c r="B127" s="28" t="s">
        <v>151</v>
      </c>
      <c r="C127" s="14" t="s">
        <v>747</v>
      </c>
      <c r="D127" s="14">
        <v>22</v>
      </c>
      <c r="E127" s="14">
        <v>0</v>
      </c>
      <c r="F127" s="14">
        <v>0</v>
      </c>
      <c r="G127" s="58" t="s">
        <v>638</v>
      </c>
      <c r="H127" s="107"/>
      <c r="I127" s="112"/>
      <c r="J127" s="107">
        <v>1673624.69</v>
      </c>
      <c r="K127" s="112">
        <v>0</v>
      </c>
      <c r="L127" s="107">
        <v>0</v>
      </c>
      <c r="M127" s="112">
        <v>98991.096721022739</v>
      </c>
      <c r="N127" s="107">
        <v>165616.15</v>
      </c>
      <c r="O127" s="112">
        <v>130731</v>
      </c>
      <c r="P127" s="107">
        <v>0</v>
      </c>
      <c r="Q127" s="112">
        <v>2068962.9367210227</v>
      </c>
      <c r="R127" s="107">
        <v>605</v>
      </c>
      <c r="S127" s="112">
        <v>56835.779114583325</v>
      </c>
      <c r="T127" s="107">
        <v>0</v>
      </c>
      <c r="U127" s="112">
        <v>0</v>
      </c>
      <c r="V127" s="107">
        <v>0</v>
      </c>
      <c r="W127" s="112">
        <v>0</v>
      </c>
      <c r="X127" s="107">
        <v>163414</v>
      </c>
      <c r="Y127" s="112">
        <v>245239.3</v>
      </c>
      <c r="Z127" s="107">
        <v>465489.07911458332</v>
      </c>
      <c r="AA127" s="112">
        <v>1603473.8576064394</v>
      </c>
      <c r="AB127" s="107">
        <v>26.142393560614437</v>
      </c>
      <c r="AC127" s="112">
        <v>1603500</v>
      </c>
      <c r="AD127" s="28" t="s">
        <v>234</v>
      </c>
      <c r="AE127" s="68" t="s">
        <v>474</v>
      </c>
      <c r="AF127" s="16" t="s">
        <v>151</v>
      </c>
      <c r="AG127" s="4" t="b">
        <f t="shared" si="2"/>
        <v>1</v>
      </c>
    </row>
    <row r="128" spans="1:37" x14ac:dyDescent="0.2">
      <c r="A128" s="14">
        <v>120</v>
      </c>
      <c r="B128" s="28" t="s">
        <v>153</v>
      </c>
      <c r="C128" s="14" t="s">
        <v>748</v>
      </c>
      <c r="D128" s="14">
        <v>22</v>
      </c>
      <c r="E128" s="14">
        <v>0</v>
      </c>
      <c r="F128" s="14">
        <v>0</v>
      </c>
      <c r="G128" s="58" t="s">
        <v>628</v>
      </c>
      <c r="H128" s="107"/>
      <c r="I128" s="112"/>
      <c r="J128" s="107">
        <v>2188586.14</v>
      </c>
      <c r="K128" s="112">
        <v>0</v>
      </c>
      <c r="L128" s="107">
        <v>0</v>
      </c>
      <c r="M128" s="112">
        <v>397924</v>
      </c>
      <c r="N128" s="107">
        <v>165616.15</v>
      </c>
      <c r="O128" s="112">
        <v>0</v>
      </c>
      <c r="P128" s="107">
        <v>0</v>
      </c>
      <c r="Q128" s="112">
        <v>2752126.29</v>
      </c>
      <c r="R128" s="107">
        <v>375</v>
      </c>
      <c r="S128" s="112">
        <v>53515.772017045463</v>
      </c>
      <c r="T128" s="107">
        <v>0</v>
      </c>
      <c r="U128" s="112">
        <v>0</v>
      </c>
      <c r="V128" s="107">
        <v>0</v>
      </c>
      <c r="W128" s="112">
        <v>0</v>
      </c>
      <c r="X128" s="107">
        <v>0</v>
      </c>
      <c r="Y128" s="112">
        <v>245239.3</v>
      </c>
      <c r="Z128" s="107">
        <v>298755.07201704546</v>
      </c>
      <c r="AA128" s="112">
        <v>2453371.2179829543</v>
      </c>
      <c r="AB128" s="107">
        <v>28.782017045654356</v>
      </c>
      <c r="AC128" s="112">
        <v>2453400</v>
      </c>
      <c r="AD128" s="28" t="s">
        <v>235</v>
      </c>
      <c r="AE128" s="68" t="s">
        <v>543</v>
      </c>
      <c r="AF128" s="16" t="s">
        <v>153</v>
      </c>
      <c r="AG128" s="4" t="b">
        <f t="shared" si="2"/>
        <v>1</v>
      </c>
    </row>
    <row r="129" spans="1:110" x14ac:dyDescent="0.2">
      <c r="A129" s="14">
        <v>121</v>
      </c>
      <c r="B129" s="28" t="s">
        <v>155</v>
      </c>
      <c r="C129" s="14" t="s">
        <v>749</v>
      </c>
      <c r="D129" s="14">
        <v>22</v>
      </c>
      <c r="E129" s="14">
        <v>0</v>
      </c>
      <c r="F129" s="14">
        <v>0</v>
      </c>
      <c r="G129" s="58" t="s">
        <v>637</v>
      </c>
      <c r="H129" s="107"/>
      <c r="I129" s="112"/>
      <c r="J129" s="107">
        <v>1673624.69</v>
      </c>
      <c r="K129" s="112">
        <v>0</v>
      </c>
      <c r="L129" s="107">
        <v>0</v>
      </c>
      <c r="M129" s="112">
        <v>722684</v>
      </c>
      <c r="N129" s="107">
        <v>165616.15</v>
      </c>
      <c r="O129" s="112">
        <v>130731</v>
      </c>
      <c r="P129" s="107">
        <v>0</v>
      </c>
      <c r="Q129" s="112">
        <v>2692655.84</v>
      </c>
      <c r="R129" s="107">
        <v>0</v>
      </c>
      <c r="S129" s="112">
        <v>0</v>
      </c>
      <c r="T129" s="107">
        <v>0</v>
      </c>
      <c r="U129" s="112">
        <v>0</v>
      </c>
      <c r="V129" s="107">
        <v>0</v>
      </c>
      <c r="W129" s="112">
        <v>0</v>
      </c>
      <c r="X129" s="107">
        <v>163414</v>
      </c>
      <c r="Y129" s="112">
        <v>245239.3</v>
      </c>
      <c r="Z129" s="107">
        <v>408653.3</v>
      </c>
      <c r="AA129" s="112">
        <v>2284002.54</v>
      </c>
      <c r="AB129" s="107">
        <v>97.459999999962747</v>
      </c>
      <c r="AC129" s="112">
        <v>2284100</v>
      </c>
      <c r="AD129" s="28" t="s">
        <v>236</v>
      </c>
      <c r="AE129" s="68" t="s">
        <v>559</v>
      </c>
      <c r="AF129" s="16" t="s">
        <v>155</v>
      </c>
      <c r="AG129" s="4" t="b">
        <f t="shared" si="2"/>
        <v>1</v>
      </c>
    </row>
    <row r="130" spans="1:110" x14ac:dyDescent="0.2">
      <c r="A130" s="14">
        <v>122</v>
      </c>
      <c r="B130" s="28" t="s">
        <v>161</v>
      </c>
      <c r="C130" s="14" t="s">
        <v>750</v>
      </c>
      <c r="D130" s="14">
        <v>22</v>
      </c>
      <c r="E130" s="14">
        <v>0</v>
      </c>
      <c r="F130" s="14">
        <v>0</v>
      </c>
      <c r="G130" s="58" t="s">
        <v>639</v>
      </c>
      <c r="H130" s="107"/>
      <c r="I130" s="112"/>
      <c r="J130" s="107">
        <v>2188586.14</v>
      </c>
      <c r="K130" s="112">
        <v>0</v>
      </c>
      <c r="L130" s="107">
        <v>0</v>
      </c>
      <c r="M130" s="112">
        <v>198962</v>
      </c>
      <c r="N130" s="107">
        <v>165616.15</v>
      </c>
      <c r="O130" s="112">
        <v>130731</v>
      </c>
      <c r="P130" s="107">
        <v>0</v>
      </c>
      <c r="Q130" s="112">
        <v>2683895.29</v>
      </c>
      <c r="R130" s="107">
        <v>208</v>
      </c>
      <c r="S130" s="112">
        <v>29683.41487878788</v>
      </c>
      <c r="T130" s="107">
        <v>0</v>
      </c>
      <c r="U130" s="112">
        <v>0</v>
      </c>
      <c r="V130" s="107">
        <v>0</v>
      </c>
      <c r="W130" s="112">
        <v>0</v>
      </c>
      <c r="X130" s="107">
        <v>163414</v>
      </c>
      <c r="Y130" s="112">
        <v>245239.3</v>
      </c>
      <c r="Z130" s="107">
        <v>438336.71487878787</v>
      </c>
      <c r="AA130" s="112">
        <v>2245558.5751212123</v>
      </c>
      <c r="AB130" s="107">
        <v>41.424878787714988</v>
      </c>
      <c r="AC130" s="112">
        <v>2245600</v>
      </c>
      <c r="AD130" s="28" t="s">
        <v>237</v>
      </c>
      <c r="AE130" s="68" t="s">
        <v>550</v>
      </c>
      <c r="AF130" s="16" t="s">
        <v>161</v>
      </c>
      <c r="AG130" s="4" t="b">
        <f t="shared" si="2"/>
        <v>1</v>
      </c>
    </row>
    <row r="131" spans="1:110" x14ac:dyDescent="0.2">
      <c r="A131" s="14">
        <v>123</v>
      </c>
      <c r="B131" s="28" t="s">
        <v>162</v>
      </c>
      <c r="C131" s="14" t="s">
        <v>751</v>
      </c>
      <c r="D131" s="14">
        <v>22</v>
      </c>
      <c r="E131" s="14">
        <v>0</v>
      </c>
      <c r="F131" s="14">
        <v>0</v>
      </c>
      <c r="G131" s="58" t="s">
        <v>627</v>
      </c>
      <c r="H131" s="107"/>
      <c r="I131" s="112"/>
      <c r="J131" s="107">
        <v>1641439.605</v>
      </c>
      <c r="K131" s="112">
        <v>0</v>
      </c>
      <c r="L131" s="107">
        <v>0</v>
      </c>
      <c r="M131" s="112">
        <v>0</v>
      </c>
      <c r="N131" s="107">
        <v>165616.15</v>
      </c>
      <c r="O131" s="112">
        <v>0</v>
      </c>
      <c r="P131" s="107">
        <v>0</v>
      </c>
      <c r="Q131" s="112">
        <v>1807055.7549999999</v>
      </c>
      <c r="R131" s="107">
        <v>3</v>
      </c>
      <c r="S131" s="112">
        <v>428.12617613636365</v>
      </c>
      <c r="T131" s="107">
        <v>0</v>
      </c>
      <c r="U131" s="112">
        <v>0</v>
      </c>
      <c r="V131" s="107">
        <v>0</v>
      </c>
      <c r="W131" s="112">
        <v>0</v>
      </c>
      <c r="X131" s="107">
        <v>0</v>
      </c>
      <c r="Y131" s="112">
        <v>245239.3</v>
      </c>
      <c r="Z131" s="107">
        <v>245667.42617613636</v>
      </c>
      <c r="AA131" s="112">
        <v>1561388.3288238635</v>
      </c>
      <c r="AB131" s="107">
        <v>11.671176136471331</v>
      </c>
      <c r="AC131" s="112">
        <v>1561400</v>
      </c>
      <c r="AD131" s="28" t="s">
        <v>238</v>
      </c>
      <c r="AE131" s="68" t="s">
        <v>537</v>
      </c>
      <c r="AF131" s="16" t="s">
        <v>162</v>
      </c>
      <c r="AG131" s="4" t="b">
        <f t="shared" si="2"/>
        <v>1</v>
      </c>
    </row>
    <row r="132" spans="1:110" x14ac:dyDescent="0.2">
      <c r="A132" s="14">
        <v>124</v>
      </c>
      <c r="B132" s="28" t="s">
        <v>164</v>
      </c>
      <c r="C132" s="14" t="s">
        <v>752</v>
      </c>
      <c r="D132" s="14">
        <v>22</v>
      </c>
      <c r="E132" s="14">
        <v>0</v>
      </c>
      <c r="F132" s="14">
        <v>0</v>
      </c>
      <c r="G132" s="58" t="s">
        <v>628</v>
      </c>
      <c r="H132" s="107"/>
      <c r="I132" s="112"/>
      <c r="J132" s="107">
        <v>2188586.14</v>
      </c>
      <c r="K132" s="112">
        <v>0</v>
      </c>
      <c r="L132" s="107">
        <v>0</v>
      </c>
      <c r="M132" s="112">
        <v>198962</v>
      </c>
      <c r="N132" s="107">
        <v>165616.15</v>
      </c>
      <c r="O132" s="112">
        <v>130731</v>
      </c>
      <c r="P132" s="107">
        <v>0</v>
      </c>
      <c r="Q132" s="112">
        <v>2683895.29</v>
      </c>
      <c r="R132" s="107">
        <v>135</v>
      </c>
      <c r="S132" s="112">
        <v>19265.677926136366</v>
      </c>
      <c r="T132" s="107">
        <v>0</v>
      </c>
      <c r="U132" s="112">
        <v>0</v>
      </c>
      <c r="V132" s="107">
        <v>0</v>
      </c>
      <c r="W132" s="112">
        <v>0</v>
      </c>
      <c r="X132" s="107">
        <v>163414</v>
      </c>
      <c r="Y132" s="112">
        <v>245239.3</v>
      </c>
      <c r="Z132" s="107">
        <v>427918.97792613634</v>
      </c>
      <c r="AA132" s="112">
        <v>2255976.3120738636</v>
      </c>
      <c r="AB132" s="107">
        <v>23.687926136422902</v>
      </c>
      <c r="AC132" s="112">
        <v>2256000</v>
      </c>
      <c r="AD132" s="28" t="s">
        <v>240</v>
      </c>
      <c r="AE132" s="68" t="s">
        <v>544</v>
      </c>
      <c r="AF132" s="16" t="s">
        <v>164</v>
      </c>
      <c r="AG132" s="4" t="b">
        <f t="shared" si="2"/>
        <v>1</v>
      </c>
    </row>
    <row r="133" spans="1:110" x14ac:dyDescent="0.2">
      <c r="A133" s="14">
        <v>125</v>
      </c>
      <c r="B133" s="28" t="s">
        <v>165</v>
      </c>
      <c r="C133" s="14" t="s">
        <v>753</v>
      </c>
      <c r="D133" s="14">
        <v>22</v>
      </c>
      <c r="E133" s="14">
        <v>0</v>
      </c>
      <c r="F133" s="14">
        <v>0</v>
      </c>
      <c r="G133" s="58" t="s">
        <v>646</v>
      </c>
      <c r="H133" s="107"/>
      <c r="I133" s="112"/>
      <c r="J133" s="107">
        <v>2188586.14</v>
      </c>
      <c r="K133" s="112">
        <v>0</v>
      </c>
      <c r="L133" s="107">
        <v>0</v>
      </c>
      <c r="M133" s="112">
        <v>0</v>
      </c>
      <c r="N133" s="107">
        <v>165616.15</v>
      </c>
      <c r="O133" s="112">
        <v>130731</v>
      </c>
      <c r="P133" s="107">
        <v>0</v>
      </c>
      <c r="Q133" s="112">
        <v>2484933.29</v>
      </c>
      <c r="R133" s="107">
        <v>0</v>
      </c>
      <c r="S133" s="112">
        <v>0</v>
      </c>
      <c r="T133" s="107">
        <v>0</v>
      </c>
      <c r="U133" s="112">
        <v>0</v>
      </c>
      <c r="V133" s="107">
        <v>0</v>
      </c>
      <c r="W133" s="112">
        <v>0</v>
      </c>
      <c r="X133" s="107">
        <v>163414</v>
      </c>
      <c r="Y133" s="112">
        <v>245239.3</v>
      </c>
      <c r="Z133" s="107">
        <v>408653.3</v>
      </c>
      <c r="AA133" s="112">
        <v>2076279.99</v>
      </c>
      <c r="AB133" s="107">
        <v>20.010000000009313</v>
      </c>
      <c r="AC133" s="112">
        <v>2076300</v>
      </c>
      <c r="AD133" s="28" t="s">
        <v>241</v>
      </c>
      <c r="AE133" s="68" t="s">
        <v>563</v>
      </c>
      <c r="AF133" s="16" t="s">
        <v>165</v>
      </c>
      <c r="AG133" s="4" t="b">
        <f t="shared" si="2"/>
        <v>1</v>
      </c>
    </row>
    <row r="134" spans="1:110" x14ac:dyDescent="0.2">
      <c r="A134" s="14">
        <v>126</v>
      </c>
      <c r="B134" s="28" t="s">
        <v>167</v>
      </c>
      <c r="C134" s="14" t="s">
        <v>768</v>
      </c>
      <c r="D134" s="14">
        <v>22</v>
      </c>
      <c r="E134" s="14">
        <v>0</v>
      </c>
      <c r="F134" s="14">
        <v>0</v>
      </c>
      <c r="G134" s="58" t="s">
        <v>641</v>
      </c>
      <c r="H134" s="107"/>
      <c r="I134" s="112"/>
      <c r="J134" s="107">
        <v>1673624.69</v>
      </c>
      <c r="K134" s="112">
        <v>0</v>
      </c>
      <c r="L134" s="107">
        <v>0</v>
      </c>
      <c r="M134" s="112">
        <v>115344.16999999998</v>
      </c>
      <c r="N134" s="107">
        <v>165616.15</v>
      </c>
      <c r="O134" s="112">
        <v>130731</v>
      </c>
      <c r="P134" s="107">
        <v>0</v>
      </c>
      <c r="Q134" s="112">
        <v>2085316.0099999998</v>
      </c>
      <c r="R134" s="107">
        <v>1</v>
      </c>
      <c r="S134" s="112">
        <v>93.943436553030295</v>
      </c>
      <c r="T134" s="107">
        <v>0</v>
      </c>
      <c r="U134" s="112">
        <v>0</v>
      </c>
      <c r="V134" s="107">
        <v>0</v>
      </c>
      <c r="W134" s="112">
        <v>0</v>
      </c>
      <c r="X134" s="107">
        <v>163414</v>
      </c>
      <c r="Y134" s="112">
        <v>245239.3</v>
      </c>
      <c r="Z134" s="107">
        <v>408747.24343655305</v>
      </c>
      <c r="AA134" s="112">
        <v>1676568.7665634467</v>
      </c>
      <c r="AB134" s="107">
        <v>31.23343655327335</v>
      </c>
      <c r="AC134" s="112">
        <v>1676600</v>
      </c>
      <c r="AD134" s="28" t="s">
        <v>243</v>
      </c>
      <c r="AE134" s="68" t="s">
        <v>439</v>
      </c>
      <c r="AF134" s="16" t="s">
        <v>167</v>
      </c>
      <c r="AG134" s="4" t="b">
        <f t="shared" si="2"/>
        <v>1</v>
      </c>
    </row>
    <row r="135" spans="1:110" x14ac:dyDescent="0.2">
      <c r="A135" s="14">
        <v>127</v>
      </c>
      <c r="B135" s="28" t="s">
        <v>169</v>
      </c>
      <c r="C135" s="14" t="s">
        <v>754</v>
      </c>
      <c r="D135" s="14">
        <v>22</v>
      </c>
      <c r="E135" s="14">
        <v>0</v>
      </c>
      <c r="F135" s="14">
        <v>0</v>
      </c>
      <c r="G135" s="58" t="s">
        <v>624</v>
      </c>
      <c r="H135" s="107"/>
      <c r="I135" s="112"/>
      <c r="J135" s="107">
        <v>2188586.14</v>
      </c>
      <c r="K135" s="112">
        <v>0</v>
      </c>
      <c r="L135" s="107">
        <v>0</v>
      </c>
      <c r="M135" s="112">
        <v>0</v>
      </c>
      <c r="N135" s="107">
        <v>165616.15</v>
      </c>
      <c r="O135" s="112">
        <v>130731</v>
      </c>
      <c r="P135" s="107">
        <v>0</v>
      </c>
      <c r="Q135" s="112">
        <v>2484933.29</v>
      </c>
      <c r="R135" s="107">
        <v>0</v>
      </c>
      <c r="S135" s="112">
        <v>0</v>
      </c>
      <c r="T135" s="107">
        <v>0</v>
      </c>
      <c r="U135" s="112">
        <v>0</v>
      </c>
      <c r="V135" s="107">
        <v>0</v>
      </c>
      <c r="W135" s="112">
        <v>0</v>
      </c>
      <c r="X135" s="107">
        <v>163414</v>
      </c>
      <c r="Y135" s="112">
        <v>245239.3</v>
      </c>
      <c r="Z135" s="107">
        <v>408653.3</v>
      </c>
      <c r="AA135" s="112">
        <v>2076279.99</v>
      </c>
      <c r="AB135" s="107">
        <v>20.010000000009313</v>
      </c>
      <c r="AC135" s="112">
        <v>2076300</v>
      </c>
      <c r="AD135" s="28" t="s">
        <v>245</v>
      </c>
      <c r="AE135" s="68" t="s">
        <v>501</v>
      </c>
      <c r="AF135" s="16" t="s">
        <v>169</v>
      </c>
      <c r="AG135" s="4" t="b">
        <f t="shared" si="2"/>
        <v>1</v>
      </c>
    </row>
    <row r="136" spans="1:110" x14ac:dyDescent="0.2">
      <c r="A136" s="14">
        <v>128</v>
      </c>
      <c r="B136" s="28" t="s">
        <v>171</v>
      </c>
      <c r="C136" s="14" t="s">
        <v>755</v>
      </c>
      <c r="D136" s="14">
        <v>22</v>
      </c>
      <c r="E136" s="14">
        <v>0</v>
      </c>
      <c r="F136" s="14">
        <v>0</v>
      </c>
      <c r="G136" s="58" t="s">
        <v>647</v>
      </c>
      <c r="H136" s="107"/>
      <c r="I136" s="112"/>
      <c r="J136" s="107">
        <v>1673624.69</v>
      </c>
      <c r="K136" s="112">
        <v>0</v>
      </c>
      <c r="L136" s="107">
        <v>0</v>
      </c>
      <c r="M136" s="112">
        <v>147297.99118238632</v>
      </c>
      <c r="N136" s="107">
        <v>165616.15</v>
      </c>
      <c r="O136" s="112">
        <v>130731</v>
      </c>
      <c r="P136" s="107">
        <v>0</v>
      </c>
      <c r="Q136" s="112">
        <v>2117269.8311823863</v>
      </c>
      <c r="R136" s="107">
        <v>137</v>
      </c>
      <c r="S136" s="112">
        <v>12870.250807765151</v>
      </c>
      <c r="T136" s="107">
        <v>0</v>
      </c>
      <c r="U136" s="112">
        <v>0</v>
      </c>
      <c r="V136" s="107">
        <v>0</v>
      </c>
      <c r="W136" s="112">
        <v>0</v>
      </c>
      <c r="X136" s="107">
        <v>163414</v>
      </c>
      <c r="Y136" s="112">
        <v>245239.3</v>
      </c>
      <c r="Z136" s="107">
        <v>421523.5508077651</v>
      </c>
      <c r="AA136" s="112">
        <v>1695746.280374621</v>
      </c>
      <c r="AB136" s="107">
        <v>53.719625378958881</v>
      </c>
      <c r="AC136" s="112">
        <v>1695800</v>
      </c>
      <c r="AD136" s="28" t="s">
        <v>247</v>
      </c>
      <c r="AE136" s="68" t="s">
        <v>434</v>
      </c>
      <c r="AF136" s="16" t="s">
        <v>171</v>
      </c>
      <c r="AG136" s="4" t="b">
        <f t="shared" si="2"/>
        <v>1</v>
      </c>
    </row>
    <row r="137" spans="1:110" x14ac:dyDescent="0.2">
      <c r="A137" s="14">
        <v>129</v>
      </c>
      <c r="B137" s="28" t="s">
        <v>178</v>
      </c>
      <c r="C137" s="14" t="s">
        <v>757</v>
      </c>
      <c r="D137" s="14">
        <v>22</v>
      </c>
      <c r="E137" s="14">
        <v>0</v>
      </c>
      <c r="F137" s="14">
        <v>0</v>
      </c>
      <c r="G137" s="58" t="s">
        <v>639</v>
      </c>
      <c r="H137" s="107"/>
      <c r="I137" s="112"/>
      <c r="J137" s="107">
        <v>2188586.14</v>
      </c>
      <c r="K137" s="112">
        <v>0</v>
      </c>
      <c r="L137" s="107">
        <v>0</v>
      </c>
      <c r="M137" s="112">
        <v>99481</v>
      </c>
      <c r="N137" s="107">
        <v>165616.15</v>
      </c>
      <c r="O137" s="112">
        <v>130731</v>
      </c>
      <c r="P137" s="107">
        <v>0</v>
      </c>
      <c r="Q137" s="112">
        <v>2584414.29</v>
      </c>
      <c r="R137" s="107">
        <v>47</v>
      </c>
      <c r="S137" s="112">
        <v>6707.3100928030308</v>
      </c>
      <c r="T137" s="107">
        <v>0</v>
      </c>
      <c r="U137" s="112">
        <v>0</v>
      </c>
      <c r="V137" s="107">
        <v>0</v>
      </c>
      <c r="W137" s="112">
        <v>0</v>
      </c>
      <c r="X137" s="107">
        <v>163414</v>
      </c>
      <c r="Y137" s="112">
        <v>245239.3</v>
      </c>
      <c r="Z137" s="107">
        <v>415360.61009280302</v>
      </c>
      <c r="AA137" s="112">
        <v>2169053.6799071971</v>
      </c>
      <c r="AB137" s="107">
        <v>46.320092802867293</v>
      </c>
      <c r="AC137" s="112">
        <v>2169100</v>
      </c>
      <c r="AD137" s="28" t="s">
        <v>249</v>
      </c>
      <c r="AE137" s="68" t="s">
        <v>551</v>
      </c>
      <c r="AF137" s="16" t="s">
        <v>178</v>
      </c>
      <c r="AG137" s="4" t="b">
        <f t="shared" si="2"/>
        <v>1</v>
      </c>
      <c r="AJ137" s="68" t="s">
        <v>534</v>
      </c>
      <c r="AK137" s="16" t="s">
        <v>175</v>
      </c>
    </row>
    <row r="138" spans="1:110" x14ac:dyDescent="0.2">
      <c r="A138" s="14">
        <v>130</v>
      </c>
      <c r="B138" s="28" t="s">
        <v>186</v>
      </c>
      <c r="C138" s="14" t="s">
        <v>758</v>
      </c>
      <c r="D138" s="14">
        <v>22</v>
      </c>
      <c r="E138" s="14">
        <v>0</v>
      </c>
      <c r="F138" s="14">
        <v>0</v>
      </c>
      <c r="G138" s="28" t="s">
        <v>983</v>
      </c>
      <c r="H138" s="107"/>
      <c r="I138" s="112"/>
      <c r="J138" s="107">
        <v>2188586.14</v>
      </c>
      <c r="K138" s="112">
        <v>0</v>
      </c>
      <c r="L138" s="107">
        <v>0</v>
      </c>
      <c r="M138" s="112">
        <v>99481</v>
      </c>
      <c r="N138" s="107">
        <v>165616.15</v>
      </c>
      <c r="O138" s="112">
        <v>0</v>
      </c>
      <c r="P138" s="107">
        <v>0</v>
      </c>
      <c r="Q138" s="112">
        <v>2453683.29</v>
      </c>
      <c r="R138" s="107">
        <v>0</v>
      </c>
      <c r="S138" s="112">
        <v>0</v>
      </c>
      <c r="T138" s="107">
        <v>0</v>
      </c>
      <c r="U138" s="112">
        <v>0</v>
      </c>
      <c r="V138" s="107">
        <v>0</v>
      </c>
      <c r="W138" s="112">
        <v>0</v>
      </c>
      <c r="X138" s="107">
        <v>0</v>
      </c>
      <c r="Y138" s="112">
        <v>245239.3</v>
      </c>
      <c r="Z138" s="107">
        <v>245239.3</v>
      </c>
      <c r="AA138" s="112">
        <v>2208443.9900000002</v>
      </c>
      <c r="AB138" s="107">
        <v>56.009999999776483</v>
      </c>
      <c r="AC138" s="112">
        <v>2208500</v>
      </c>
      <c r="AD138" s="60" t="s">
        <v>251</v>
      </c>
      <c r="AE138" s="68" t="s">
        <v>518</v>
      </c>
      <c r="AF138" s="16" t="s">
        <v>186</v>
      </c>
      <c r="AG138" s="4" t="b">
        <f t="shared" si="2"/>
        <v>1</v>
      </c>
    </row>
    <row r="139" spans="1:110" x14ac:dyDescent="0.2">
      <c r="A139" s="14">
        <v>131</v>
      </c>
      <c r="B139" s="28" t="s">
        <v>188</v>
      </c>
      <c r="C139" s="14" t="s">
        <v>759</v>
      </c>
      <c r="D139" s="14">
        <v>22</v>
      </c>
      <c r="E139" s="14">
        <v>0</v>
      </c>
      <c r="F139" s="14">
        <v>0</v>
      </c>
      <c r="G139" s="58" t="s">
        <v>614</v>
      </c>
      <c r="H139" s="107"/>
      <c r="I139" s="112"/>
      <c r="J139" s="107">
        <v>1673624.69</v>
      </c>
      <c r="K139" s="112">
        <v>0</v>
      </c>
      <c r="L139" s="107">
        <v>0</v>
      </c>
      <c r="M139" s="112">
        <v>48497.079085227291</v>
      </c>
      <c r="N139" s="107">
        <v>165616.15</v>
      </c>
      <c r="O139" s="112">
        <v>130731</v>
      </c>
      <c r="P139" s="107">
        <v>0</v>
      </c>
      <c r="Q139" s="112">
        <v>2018468.9190852272</v>
      </c>
      <c r="R139" s="107">
        <v>190</v>
      </c>
      <c r="S139" s="112">
        <v>17849.252945075757</v>
      </c>
      <c r="T139" s="107">
        <v>0</v>
      </c>
      <c r="U139" s="112">
        <v>0</v>
      </c>
      <c r="V139" s="107">
        <v>0</v>
      </c>
      <c r="W139" s="112">
        <v>0</v>
      </c>
      <c r="X139" s="107">
        <v>163414</v>
      </c>
      <c r="Y139" s="112">
        <v>245239.3</v>
      </c>
      <c r="Z139" s="107">
        <v>426502.55294507573</v>
      </c>
      <c r="AA139" s="112">
        <v>1591966.3661401514</v>
      </c>
      <c r="AB139" s="107">
        <v>33.633859848603606</v>
      </c>
      <c r="AC139" s="112">
        <v>1592000</v>
      </c>
      <c r="AD139" s="28" t="s">
        <v>370</v>
      </c>
      <c r="AE139" s="68" t="s">
        <v>468</v>
      </c>
      <c r="AF139" s="16" t="s">
        <v>188</v>
      </c>
      <c r="AG139" s="4" t="b">
        <f t="shared" si="2"/>
        <v>1</v>
      </c>
    </row>
    <row r="140" spans="1:110" x14ac:dyDescent="0.2">
      <c r="A140" s="14">
        <v>132</v>
      </c>
      <c r="B140" s="28" t="s">
        <v>193</v>
      </c>
      <c r="C140" s="14" t="s">
        <v>760</v>
      </c>
      <c r="D140" s="14">
        <v>22</v>
      </c>
      <c r="E140" s="14">
        <v>0</v>
      </c>
      <c r="F140" s="14">
        <v>0</v>
      </c>
      <c r="G140" s="58" t="s">
        <v>628</v>
      </c>
      <c r="H140" s="107"/>
      <c r="I140" s="112"/>
      <c r="J140" s="107">
        <v>2188586.14</v>
      </c>
      <c r="K140" s="112">
        <v>0</v>
      </c>
      <c r="L140" s="107">
        <v>0</v>
      </c>
      <c r="M140" s="112">
        <v>99481.188181818186</v>
      </c>
      <c r="N140" s="107">
        <v>165616.15</v>
      </c>
      <c r="O140" s="112">
        <v>130731</v>
      </c>
      <c r="P140" s="107">
        <v>0</v>
      </c>
      <c r="Q140" s="112">
        <v>2584414.478181818</v>
      </c>
      <c r="R140" s="107">
        <v>149</v>
      </c>
      <c r="S140" s="112">
        <v>21263.600081439396</v>
      </c>
      <c r="T140" s="107">
        <v>0</v>
      </c>
      <c r="U140" s="112">
        <v>0</v>
      </c>
      <c r="V140" s="107">
        <v>0</v>
      </c>
      <c r="W140" s="112">
        <v>0</v>
      </c>
      <c r="X140" s="107">
        <v>163414</v>
      </c>
      <c r="Y140" s="112">
        <v>245239.3</v>
      </c>
      <c r="Z140" s="107">
        <v>429916.90008143941</v>
      </c>
      <c r="AA140" s="112">
        <v>2154497.5781003786</v>
      </c>
      <c r="AB140" s="107">
        <v>2.4218996213749051</v>
      </c>
      <c r="AC140" s="112">
        <v>2154500</v>
      </c>
      <c r="AD140" s="28" t="s">
        <v>253</v>
      </c>
      <c r="AE140" s="68" t="s">
        <v>545</v>
      </c>
      <c r="AF140" s="16" t="s">
        <v>193</v>
      </c>
      <c r="AG140" s="4" t="b">
        <f t="shared" si="2"/>
        <v>1</v>
      </c>
    </row>
    <row r="141" spans="1:110" x14ac:dyDescent="0.2">
      <c r="A141" s="14">
        <v>133</v>
      </c>
      <c r="B141" s="28" t="s">
        <v>195</v>
      </c>
      <c r="C141" s="14" t="s">
        <v>761</v>
      </c>
      <c r="D141" s="14">
        <v>22</v>
      </c>
      <c r="E141" s="14">
        <v>0</v>
      </c>
      <c r="F141" s="14">
        <v>0</v>
      </c>
      <c r="G141" s="58" t="s">
        <v>638</v>
      </c>
      <c r="H141" s="107"/>
      <c r="I141" s="112"/>
      <c r="J141" s="107">
        <v>1673624.69</v>
      </c>
      <c r="K141" s="112">
        <v>0</v>
      </c>
      <c r="L141" s="107">
        <v>0</v>
      </c>
      <c r="M141" s="112">
        <v>0</v>
      </c>
      <c r="N141" s="107">
        <v>165616.15</v>
      </c>
      <c r="O141" s="112">
        <v>130731</v>
      </c>
      <c r="P141" s="107">
        <v>0</v>
      </c>
      <c r="Q141" s="112">
        <v>1969971.8399999999</v>
      </c>
      <c r="R141" s="107">
        <v>167</v>
      </c>
      <c r="S141" s="112">
        <v>15688.55390435606</v>
      </c>
      <c r="T141" s="107">
        <v>0</v>
      </c>
      <c r="U141" s="112">
        <v>0</v>
      </c>
      <c r="V141" s="107">
        <v>0</v>
      </c>
      <c r="W141" s="112">
        <v>0</v>
      </c>
      <c r="X141" s="107">
        <v>163414</v>
      </c>
      <c r="Y141" s="112">
        <v>245239.3</v>
      </c>
      <c r="Z141" s="107">
        <v>424341.85390435602</v>
      </c>
      <c r="AA141" s="112">
        <v>1545629.9860956438</v>
      </c>
      <c r="AB141" s="107">
        <v>70.013904356164858</v>
      </c>
      <c r="AC141" s="112">
        <v>1545700</v>
      </c>
      <c r="AD141" s="28" t="s">
        <v>255</v>
      </c>
      <c r="AE141" s="68" t="s">
        <v>475</v>
      </c>
      <c r="AF141" s="16" t="s">
        <v>195</v>
      </c>
      <c r="AG141" s="4" t="b">
        <f t="shared" si="2"/>
        <v>1</v>
      </c>
    </row>
    <row r="142" spans="1:110" x14ac:dyDescent="0.2">
      <c r="A142" s="14">
        <v>134</v>
      </c>
      <c r="B142" s="28" t="s">
        <v>197</v>
      </c>
      <c r="C142" s="14" t="s">
        <v>762</v>
      </c>
      <c r="D142" s="14">
        <v>22</v>
      </c>
      <c r="E142" s="14">
        <v>0</v>
      </c>
      <c r="F142" s="14">
        <v>0</v>
      </c>
      <c r="G142" s="58" t="s">
        <v>639</v>
      </c>
      <c r="H142" s="107"/>
      <c r="I142" s="112"/>
      <c r="J142" s="107">
        <v>2188586.14</v>
      </c>
      <c r="K142" s="112">
        <v>0</v>
      </c>
      <c r="L142" s="107">
        <v>0</v>
      </c>
      <c r="M142" s="112">
        <v>0</v>
      </c>
      <c r="N142" s="107">
        <v>165616.15</v>
      </c>
      <c r="O142" s="112">
        <v>0</v>
      </c>
      <c r="P142" s="107">
        <v>0</v>
      </c>
      <c r="Q142" s="112">
        <v>2354202.29</v>
      </c>
      <c r="R142" s="107">
        <v>16</v>
      </c>
      <c r="S142" s="112">
        <v>2283.3396060606065</v>
      </c>
      <c r="T142" s="107">
        <v>0</v>
      </c>
      <c r="U142" s="112">
        <v>0</v>
      </c>
      <c r="V142" s="107">
        <v>0</v>
      </c>
      <c r="W142" s="112">
        <v>0</v>
      </c>
      <c r="X142" s="107">
        <v>0</v>
      </c>
      <c r="Y142" s="112">
        <v>245239.3</v>
      </c>
      <c r="Z142" s="107">
        <v>247522.63960606061</v>
      </c>
      <c r="AA142" s="112">
        <v>2106679.6503939396</v>
      </c>
      <c r="AB142" s="107">
        <v>20.349606060422957</v>
      </c>
      <c r="AC142" s="112">
        <v>2106700</v>
      </c>
      <c r="AD142" s="28" t="s">
        <v>257</v>
      </c>
      <c r="AE142" s="68" t="s">
        <v>552</v>
      </c>
      <c r="AF142" s="16" t="s">
        <v>197</v>
      </c>
      <c r="AG142" s="4" t="b">
        <f t="shared" si="2"/>
        <v>1</v>
      </c>
    </row>
    <row r="143" spans="1:110" x14ac:dyDescent="0.2">
      <c r="A143" s="14">
        <v>135</v>
      </c>
      <c r="B143" s="53" t="s">
        <v>199</v>
      </c>
      <c r="C143" s="54" t="s">
        <v>763</v>
      </c>
      <c r="D143" s="54">
        <v>22</v>
      </c>
      <c r="E143" s="54">
        <v>0</v>
      </c>
      <c r="F143" s="54">
        <v>0</v>
      </c>
      <c r="G143" s="53" t="s">
        <v>640</v>
      </c>
      <c r="H143" s="108"/>
      <c r="I143" s="113"/>
      <c r="J143" s="108">
        <v>2188586.14</v>
      </c>
      <c r="K143" s="113">
        <v>0</v>
      </c>
      <c r="L143" s="108">
        <v>0</v>
      </c>
      <c r="M143" s="113">
        <v>0</v>
      </c>
      <c r="N143" s="108">
        <v>165616.15</v>
      </c>
      <c r="O143" s="113">
        <v>130731</v>
      </c>
      <c r="P143" s="108">
        <v>0</v>
      </c>
      <c r="Q143" s="113">
        <v>2484933.29</v>
      </c>
      <c r="R143" s="108">
        <v>92</v>
      </c>
      <c r="S143" s="113">
        <v>13129.202734848486</v>
      </c>
      <c r="T143" s="108">
        <v>0</v>
      </c>
      <c r="U143" s="113">
        <v>0</v>
      </c>
      <c r="V143" s="108">
        <v>0</v>
      </c>
      <c r="W143" s="113">
        <v>0</v>
      </c>
      <c r="X143" s="108">
        <v>163414</v>
      </c>
      <c r="Y143" s="113">
        <v>245239.3</v>
      </c>
      <c r="Z143" s="108">
        <v>421782.50273484847</v>
      </c>
      <c r="AA143" s="113">
        <v>2063150.7872651515</v>
      </c>
      <c r="AB143" s="108">
        <v>49.21273484849371</v>
      </c>
      <c r="AC143" s="113">
        <v>2063200</v>
      </c>
      <c r="AD143" s="28" t="s">
        <v>259</v>
      </c>
      <c r="AE143" s="68" t="s">
        <v>502</v>
      </c>
      <c r="AF143" s="16" t="s">
        <v>199</v>
      </c>
      <c r="AG143" s="4" t="b">
        <f t="shared" si="2"/>
        <v>1</v>
      </c>
    </row>
    <row r="144" spans="1:110" s="28" customFormat="1" x14ac:dyDescent="0.2">
      <c r="A144" s="14">
        <v>136</v>
      </c>
      <c r="B144" s="28" t="s">
        <v>861</v>
      </c>
      <c r="C144" s="14" t="s">
        <v>805</v>
      </c>
      <c r="D144" s="14">
        <v>22</v>
      </c>
      <c r="E144" s="14">
        <v>0</v>
      </c>
      <c r="F144" s="14">
        <v>0</v>
      </c>
      <c r="G144" s="28" t="s">
        <v>627</v>
      </c>
      <c r="H144" s="107"/>
      <c r="I144" s="112"/>
      <c r="J144" s="107">
        <v>2188586.14</v>
      </c>
      <c r="K144" s="112">
        <v>0</v>
      </c>
      <c r="L144" s="107">
        <v>0</v>
      </c>
      <c r="M144" s="112">
        <v>0</v>
      </c>
      <c r="N144" s="107">
        <v>165616.15</v>
      </c>
      <c r="O144" s="112">
        <v>130731</v>
      </c>
      <c r="P144" s="107">
        <v>0</v>
      </c>
      <c r="Q144" s="112">
        <v>2484933.29</v>
      </c>
      <c r="R144" s="107">
        <v>17</v>
      </c>
      <c r="S144" s="112">
        <v>2426.0483314393941</v>
      </c>
      <c r="T144" s="107">
        <v>0</v>
      </c>
      <c r="U144" s="112">
        <v>0</v>
      </c>
      <c r="V144" s="107">
        <v>0</v>
      </c>
      <c r="W144" s="112">
        <v>0</v>
      </c>
      <c r="X144" s="107">
        <v>163414</v>
      </c>
      <c r="Y144" s="112">
        <v>245239.3</v>
      </c>
      <c r="Z144" s="107">
        <v>411079.34833143943</v>
      </c>
      <c r="AA144" s="112">
        <v>2073853.9416685607</v>
      </c>
      <c r="AB144" s="107">
        <v>46.058331439271569</v>
      </c>
      <c r="AC144" s="112">
        <v>2073900</v>
      </c>
      <c r="AD144" s="28" t="s">
        <v>261</v>
      </c>
      <c r="AE144" s="68" t="s">
        <v>538</v>
      </c>
      <c r="AF144" s="16" t="s">
        <v>861</v>
      </c>
      <c r="AG144" s="4" t="b">
        <f t="shared" si="2"/>
        <v>1</v>
      </c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</row>
    <row r="145" spans="1:110" s="28" customFormat="1" x14ac:dyDescent="0.2">
      <c r="A145" s="14">
        <v>137</v>
      </c>
      <c r="B145" s="28" t="s">
        <v>203</v>
      </c>
      <c r="C145" s="14" t="s">
        <v>764</v>
      </c>
      <c r="D145" s="14">
        <v>22</v>
      </c>
      <c r="E145" s="14">
        <v>0</v>
      </c>
      <c r="F145" s="14">
        <v>0</v>
      </c>
      <c r="G145" s="28" t="s">
        <v>619</v>
      </c>
      <c r="H145" s="107"/>
      <c r="I145" s="112"/>
      <c r="J145" s="107">
        <v>1673624.69</v>
      </c>
      <c r="K145" s="112">
        <v>0</v>
      </c>
      <c r="L145" s="107">
        <v>0</v>
      </c>
      <c r="M145" s="112">
        <v>0</v>
      </c>
      <c r="N145" s="107">
        <v>165616.15</v>
      </c>
      <c r="O145" s="112">
        <v>130731</v>
      </c>
      <c r="P145" s="107">
        <v>0</v>
      </c>
      <c r="Q145" s="112">
        <v>1969971.8399999999</v>
      </c>
      <c r="R145" s="107">
        <v>91</v>
      </c>
      <c r="S145" s="112">
        <v>8548.8527263257565</v>
      </c>
      <c r="T145" s="107">
        <v>0</v>
      </c>
      <c r="U145" s="112">
        <v>0</v>
      </c>
      <c r="V145" s="107">
        <v>0</v>
      </c>
      <c r="W145" s="112">
        <v>0</v>
      </c>
      <c r="X145" s="107">
        <v>163414</v>
      </c>
      <c r="Y145" s="112">
        <v>245239.3</v>
      </c>
      <c r="Z145" s="107">
        <v>417202.15272632573</v>
      </c>
      <c r="AA145" s="112">
        <v>1552769.6872736742</v>
      </c>
      <c r="AB145" s="107">
        <v>30.312726325821131</v>
      </c>
      <c r="AC145" s="112">
        <v>1552800</v>
      </c>
      <c r="AD145" s="28" t="s">
        <v>262</v>
      </c>
      <c r="AE145" s="68" t="s">
        <v>513</v>
      </c>
      <c r="AF145" s="16" t="s">
        <v>203</v>
      </c>
      <c r="AG145" s="4" t="b">
        <f t="shared" si="2"/>
        <v>1</v>
      </c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</row>
    <row r="146" spans="1:110" x14ac:dyDescent="0.2">
      <c r="A146" s="14">
        <v>138</v>
      </c>
      <c r="B146" s="57" t="s">
        <v>205</v>
      </c>
      <c r="C146" s="55" t="s">
        <v>765</v>
      </c>
      <c r="D146" s="55">
        <v>22</v>
      </c>
      <c r="E146" s="55">
        <v>0</v>
      </c>
      <c r="F146" s="55">
        <v>0</v>
      </c>
      <c r="G146" s="57" t="s">
        <v>626</v>
      </c>
      <c r="H146" s="109"/>
      <c r="I146" s="114"/>
      <c r="J146" s="109">
        <v>2059845.78</v>
      </c>
      <c r="K146" s="114">
        <v>0</v>
      </c>
      <c r="L146" s="109">
        <v>0</v>
      </c>
      <c r="M146" s="114">
        <v>16385.074999999983</v>
      </c>
      <c r="N146" s="109">
        <v>165616.15</v>
      </c>
      <c r="O146" s="114">
        <v>0</v>
      </c>
      <c r="P146" s="109">
        <v>0</v>
      </c>
      <c r="Q146" s="114">
        <v>2241847.0049999999</v>
      </c>
      <c r="R146" s="109">
        <v>144</v>
      </c>
      <c r="S146" s="114">
        <v>18794.50609090909</v>
      </c>
      <c r="T146" s="109">
        <v>0</v>
      </c>
      <c r="U146" s="114">
        <v>0</v>
      </c>
      <c r="V146" s="109">
        <v>0</v>
      </c>
      <c r="W146" s="114">
        <v>0</v>
      </c>
      <c r="X146" s="109">
        <v>0</v>
      </c>
      <c r="Y146" s="114">
        <v>245239.3</v>
      </c>
      <c r="Z146" s="109">
        <v>264033.80609090906</v>
      </c>
      <c r="AA146" s="114">
        <v>1977813.1989090908</v>
      </c>
      <c r="AB146" s="109">
        <v>86.801090909168124</v>
      </c>
      <c r="AC146" s="114">
        <v>1977900</v>
      </c>
      <c r="AD146" s="28" t="s">
        <v>264</v>
      </c>
      <c r="AE146" s="68" t="s">
        <v>444</v>
      </c>
      <c r="AF146" s="16" t="s">
        <v>205</v>
      </c>
      <c r="AG146" s="4" t="b">
        <f t="shared" si="2"/>
        <v>1</v>
      </c>
    </row>
    <row r="147" spans="1:110" x14ac:dyDescent="0.2">
      <c r="A147" s="14">
        <v>139</v>
      </c>
      <c r="B147" s="28" t="s">
        <v>209</v>
      </c>
      <c r="C147" s="14" t="s">
        <v>766</v>
      </c>
      <c r="D147" s="14">
        <v>22</v>
      </c>
      <c r="E147" s="14">
        <v>0</v>
      </c>
      <c r="F147" s="14">
        <v>0</v>
      </c>
      <c r="G147" s="28" t="s">
        <v>625</v>
      </c>
      <c r="H147" s="107"/>
      <c r="I147" s="112"/>
      <c r="J147" s="107">
        <v>1493388.19</v>
      </c>
      <c r="K147" s="112">
        <v>0</v>
      </c>
      <c r="L147" s="107">
        <v>0</v>
      </c>
      <c r="M147" s="112">
        <v>347891.56698863633</v>
      </c>
      <c r="N147" s="107">
        <v>165616.15</v>
      </c>
      <c r="O147" s="112">
        <v>130731</v>
      </c>
      <c r="P147" s="107">
        <v>0</v>
      </c>
      <c r="Q147" s="112">
        <v>2137626.9069886361</v>
      </c>
      <c r="R147" s="107">
        <v>6</v>
      </c>
      <c r="S147" s="112">
        <v>461.25351704545449</v>
      </c>
      <c r="T147" s="107">
        <v>0</v>
      </c>
      <c r="U147" s="112">
        <v>0</v>
      </c>
      <c r="V147" s="107">
        <v>0</v>
      </c>
      <c r="W147" s="112">
        <v>0</v>
      </c>
      <c r="X147" s="107">
        <v>163414</v>
      </c>
      <c r="Y147" s="112">
        <v>245239.3</v>
      </c>
      <c r="Z147" s="107">
        <v>409114.55351704545</v>
      </c>
      <c r="AA147" s="112">
        <v>1728512.3534715907</v>
      </c>
      <c r="AB147" s="107">
        <v>87.646528409328312</v>
      </c>
      <c r="AC147" s="112">
        <v>1728600</v>
      </c>
      <c r="AD147" s="60" t="s">
        <v>350</v>
      </c>
      <c r="AE147" s="68" t="s">
        <v>488</v>
      </c>
      <c r="AF147" s="16" t="s">
        <v>209</v>
      </c>
      <c r="AG147" s="4" t="b">
        <f t="shared" si="2"/>
        <v>1</v>
      </c>
    </row>
    <row r="148" spans="1:110" x14ac:dyDescent="0.2">
      <c r="A148" s="14">
        <v>140</v>
      </c>
      <c r="B148" s="28" t="s">
        <v>211</v>
      </c>
      <c r="C148" s="14" t="s">
        <v>767</v>
      </c>
      <c r="D148" s="14">
        <v>22</v>
      </c>
      <c r="E148" s="14">
        <v>0</v>
      </c>
      <c r="F148" s="14">
        <v>0</v>
      </c>
      <c r="G148" s="28" t="s">
        <v>630</v>
      </c>
      <c r="H148" s="107"/>
      <c r="I148" s="112"/>
      <c r="J148" s="107">
        <v>1673624.69</v>
      </c>
      <c r="K148" s="112">
        <v>0</v>
      </c>
      <c r="L148" s="107">
        <v>0</v>
      </c>
      <c r="M148" s="112">
        <v>4754.6155965909093</v>
      </c>
      <c r="N148" s="107">
        <v>165616.15</v>
      </c>
      <c r="O148" s="112">
        <v>130731</v>
      </c>
      <c r="P148" s="107">
        <v>0</v>
      </c>
      <c r="Q148" s="112">
        <v>1974726.4555965906</v>
      </c>
      <c r="R148" s="107">
        <v>32</v>
      </c>
      <c r="S148" s="112">
        <v>3006.1899696969695</v>
      </c>
      <c r="T148" s="107">
        <v>0</v>
      </c>
      <c r="U148" s="112">
        <v>0</v>
      </c>
      <c r="V148" s="107">
        <v>0</v>
      </c>
      <c r="W148" s="112">
        <v>0</v>
      </c>
      <c r="X148" s="107">
        <v>163414</v>
      </c>
      <c r="Y148" s="112">
        <v>245239.3</v>
      </c>
      <c r="Z148" s="107">
        <v>411659.48996969697</v>
      </c>
      <c r="AA148" s="112">
        <v>1563066.9656268936</v>
      </c>
      <c r="AB148" s="107">
        <v>33.034373106434941</v>
      </c>
      <c r="AC148" s="112">
        <v>1563100</v>
      </c>
      <c r="AD148" s="60" t="s">
        <v>266</v>
      </c>
      <c r="AE148" s="68" t="s">
        <v>504</v>
      </c>
      <c r="AF148" s="16" t="s">
        <v>211</v>
      </c>
      <c r="AG148" s="4" t="b">
        <f t="shared" si="2"/>
        <v>1</v>
      </c>
    </row>
    <row r="149" spans="1:110" x14ac:dyDescent="0.2">
      <c r="A149" s="14">
        <v>141</v>
      </c>
      <c r="B149" s="28" t="s">
        <v>213</v>
      </c>
      <c r="C149" s="14" t="s">
        <v>769</v>
      </c>
      <c r="D149" s="14">
        <v>22</v>
      </c>
      <c r="E149" s="14">
        <v>0</v>
      </c>
      <c r="F149" s="14">
        <v>0</v>
      </c>
      <c r="G149" s="28" t="s">
        <v>630</v>
      </c>
      <c r="H149" s="107"/>
      <c r="I149" s="112"/>
      <c r="J149" s="107">
        <v>1673624.69</v>
      </c>
      <c r="K149" s="112">
        <v>0</v>
      </c>
      <c r="L149" s="107">
        <v>0</v>
      </c>
      <c r="M149" s="112">
        <v>4754.6155965909093</v>
      </c>
      <c r="N149" s="107">
        <v>0</v>
      </c>
      <c r="O149" s="112">
        <v>0</v>
      </c>
      <c r="P149" s="107">
        <v>0</v>
      </c>
      <c r="Q149" s="112">
        <v>1678379.3055965907</v>
      </c>
      <c r="R149" s="107">
        <v>2</v>
      </c>
      <c r="S149" s="112">
        <v>187.88687310606059</v>
      </c>
      <c r="T149" s="107">
        <v>0</v>
      </c>
      <c r="U149" s="112">
        <v>0</v>
      </c>
      <c r="V149" s="107">
        <v>0</v>
      </c>
      <c r="W149" s="112">
        <v>0</v>
      </c>
      <c r="X149" s="107">
        <v>0</v>
      </c>
      <c r="Y149" s="112">
        <v>0</v>
      </c>
      <c r="Z149" s="107">
        <v>187.88687310606059</v>
      </c>
      <c r="AA149" s="112">
        <v>1678191.4187234847</v>
      </c>
      <c r="AB149" s="107">
        <v>8.5812765152659267</v>
      </c>
      <c r="AC149" s="112">
        <v>1678200</v>
      </c>
      <c r="AD149" s="28" t="s">
        <v>267</v>
      </c>
      <c r="AE149" s="68" t="s">
        <v>505</v>
      </c>
      <c r="AF149" s="16" t="s">
        <v>213</v>
      </c>
      <c r="AG149" s="4" t="b">
        <f t="shared" si="2"/>
        <v>1</v>
      </c>
    </row>
    <row r="150" spans="1:110" x14ac:dyDescent="0.2">
      <c r="A150" s="14">
        <v>142</v>
      </c>
      <c r="B150" s="28" t="s">
        <v>216</v>
      </c>
      <c r="C150" s="14" t="s">
        <v>770</v>
      </c>
      <c r="D150" s="14">
        <v>22</v>
      </c>
      <c r="E150" s="14">
        <v>0</v>
      </c>
      <c r="F150" s="14">
        <v>0</v>
      </c>
      <c r="G150" s="28" t="s">
        <v>633</v>
      </c>
      <c r="H150" s="107"/>
      <c r="I150" s="112"/>
      <c r="J150" s="107">
        <v>2188586.14</v>
      </c>
      <c r="K150" s="112">
        <v>0</v>
      </c>
      <c r="L150" s="107">
        <v>0</v>
      </c>
      <c r="M150" s="112">
        <v>0</v>
      </c>
      <c r="N150" s="107">
        <v>112534.05</v>
      </c>
      <c r="O150" s="112">
        <v>130731</v>
      </c>
      <c r="P150" s="107">
        <v>0</v>
      </c>
      <c r="Q150" s="112">
        <v>2431851.19</v>
      </c>
      <c r="R150" s="107">
        <v>0</v>
      </c>
      <c r="S150" s="112">
        <v>0</v>
      </c>
      <c r="T150" s="107">
        <v>0</v>
      </c>
      <c r="U150" s="112">
        <v>0</v>
      </c>
      <c r="V150" s="107">
        <v>0</v>
      </c>
      <c r="W150" s="112">
        <v>0</v>
      </c>
      <c r="X150" s="107">
        <v>163414</v>
      </c>
      <c r="Y150" s="112">
        <v>165616.15</v>
      </c>
      <c r="Z150" s="107">
        <v>329030.15000000002</v>
      </c>
      <c r="AA150" s="112">
        <v>2102821.04</v>
      </c>
      <c r="AB150" s="107">
        <v>78.959999999962747</v>
      </c>
      <c r="AC150" s="112">
        <v>2102900</v>
      </c>
      <c r="AD150" s="28" t="s">
        <v>269</v>
      </c>
      <c r="AE150" s="68" t="s">
        <v>484</v>
      </c>
      <c r="AF150" s="16" t="s">
        <v>216</v>
      </c>
      <c r="AG150" s="4" t="b">
        <f t="shared" si="2"/>
        <v>1</v>
      </c>
    </row>
    <row r="151" spans="1:110" x14ac:dyDescent="0.2">
      <c r="A151" s="14">
        <v>143</v>
      </c>
      <c r="B151" s="28" t="s">
        <v>219</v>
      </c>
      <c r="C151" s="14" t="s">
        <v>771</v>
      </c>
      <c r="D151" s="14">
        <v>22</v>
      </c>
      <c r="E151" s="14">
        <v>0</v>
      </c>
      <c r="F151" s="14">
        <v>0</v>
      </c>
      <c r="G151" s="28" t="s">
        <v>626</v>
      </c>
      <c r="H151" s="107"/>
      <c r="I151" s="112"/>
      <c r="J151" s="107">
        <v>2059845.78</v>
      </c>
      <c r="K151" s="112">
        <v>0</v>
      </c>
      <c r="L151" s="107">
        <v>0</v>
      </c>
      <c r="M151" s="112">
        <v>55241.109999999986</v>
      </c>
      <c r="N151" s="107">
        <v>165616.15</v>
      </c>
      <c r="O151" s="112">
        <v>0</v>
      </c>
      <c r="P151" s="107">
        <v>0</v>
      </c>
      <c r="Q151" s="112">
        <v>2280703.04</v>
      </c>
      <c r="R151" s="107">
        <v>225</v>
      </c>
      <c r="S151" s="112">
        <v>29366.415767045452</v>
      </c>
      <c r="T151" s="107">
        <v>0</v>
      </c>
      <c r="U151" s="112">
        <v>0</v>
      </c>
      <c r="V151" s="107">
        <v>0</v>
      </c>
      <c r="W151" s="112">
        <v>0</v>
      </c>
      <c r="X151" s="107">
        <v>0</v>
      </c>
      <c r="Y151" s="112">
        <v>245239.3</v>
      </c>
      <c r="Z151" s="107">
        <v>274605.71576704545</v>
      </c>
      <c r="AA151" s="112">
        <v>2006097.3242329545</v>
      </c>
      <c r="AB151" s="107">
        <v>2.675767045468092</v>
      </c>
      <c r="AC151" s="112">
        <v>2006100</v>
      </c>
      <c r="AD151" s="28" t="s">
        <v>271</v>
      </c>
      <c r="AE151" s="68" t="s">
        <v>445</v>
      </c>
      <c r="AF151" s="16" t="s">
        <v>219</v>
      </c>
      <c r="AG151" s="4" t="b">
        <f t="shared" si="2"/>
        <v>1</v>
      </c>
    </row>
    <row r="152" spans="1:110" x14ac:dyDescent="0.2">
      <c r="A152" s="14">
        <v>144</v>
      </c>
      <c r="B152" s="28" t="s">
        <v>221</v>
      </c>
      <c r="C152" s="14" t="s">
        <v>772</v>
      </c>
      <c r="D152" s="14">
        <v>22</v>
      </c>
      <c r="E152" s="14">
        <v>0</v>
      </c>
      <c r="F152" s="14">
        <v>0</v>
      </c>
      <c r="G152" s="28" t="s">
        <v>640</v>
      </c>
      <c r="H152" s="107"/>
      <c r="I152" s="112"/>
      <c r="J152" s="107">
        <v>2188586.14</v>
      </c>
      <c r="K152" s="112">
        <v>0</v>
      </c>
      <c r="L152" s="107">
        <v>0</v>
      </c>
      <c r="M152" s="112">
        <v>0</v>
      </c>
      <c r="N152" s="107">
        <v>112534.05</v>
      </c>
      <c r="O152" s="112">
        <v>130731</v>
      </c>
      <c r="P152" s="107">
        <v>547146</v>
      </c>
      <c r="Q152" s="112">
        <v>2978997.19</v>
      </c>
      <c r="R152" s="107">
        <v>56</v>
      </c>
      <c r="S152" s="112">
        <v>7991.6886212121226</v>
      </c>
      <c r="T152" s="107">
        <v>0</v>
      </c>
      <c r="U152" s="112">
        <v>0</v>
      </c>
      <c r="V152" s="107">
        <v>0</v>
      </c>
      <c r="W152" s="112">
        <v>0</v>
      </c>
      <c r="X152" s="107">
        <v>163414</v>
      </c>
      <c r="Y152" s="112">
        <v>165616.15</v>
      </c>
      <c r="Z152" s="107">
        <v>337021.83862121211</v>
      </c>
      <c r="AA152" s="112">
        <v>2641975.3513787878</v>
      </c>
      <c r="AB152" s="107">
        <v>24.648621212225407</v>
      </c>
      <c r="AC152" s="112">
        <v>2642000</v>
      </c>
      <c r="AD152" s="28" t="s">
        <v>273</v>
      </c>
      <c r="AE152" s="68" t="s">
        <v>503</v>
      </c>
      <c r="AF152" s="16" t="s">
        <v>221</v>
      </c>
      <c r="AG152" s="4" t="b">
        <f t="shared" si="2"/>
        <v>1</v>
      </c>
    </row>
    <row r="153" spans="1:110" x14ac:dyDescent="0.2">
      <c r="A153" s="14">
        <v>145</v>
      </c>
      <c r="B153" s="28" t="s">
        <v>356</v>
      </c>
      <c r="C153" s="14" t="s">
        <v>773</v>
      </c>
      <c r="D153" s="14">
        <v>13</v>
      </c>
      <c r="E153" s="14">
        <v>0</v>
      </c>
      <c r="F153" s="14">
        <v>0</v>
      </c>
      <c r="G153" s="28" t="s">
        <v>620</v>
      </c>
      <c r="H153" s="107"/>
      <c r="I153" s="112"/>
      <c r="J153" s="107">
        <v>1772727.2727272725</v>
      </c>
      <c r="K153" s="112">
        <v>0</v>
      </c>
      <c r="L153" s="107">
        <v>0</v>
      </c>
      <c r="M153" s="112">
        <v>0</v>
      </c>
      <c r="N153" s="107">
        <v>0</v>
      </c>
      <c r="O153" s="112">
        <v>0</v>
      </c>
      <c r="P153" s="107">
        <v>0</v>
      </c>
      <c r="Q153" s="112">
        <v>1772727.2727272725</v>
      </c>
      <c r="R153" s="107">
        <v>334</v>
      </c>
      <c r="S153" s="112">
        <v>56069.214876033053</v>
      </c>
      <c r="T153" s="107">
        <v>0</v>
      </c>
      <c r="U153" s="112"/>
      <c r="V153" s="107">
        <v>0</v>
      </c>
      <c r="W153" s="112">
        <v>0</v>
      </c>
      <c r="X153" s="107">
        <v>0</v>
      </c>
      <c r="Y153" s="112">
        <v>0</v>
      </c>
      <c r="Z153" s="107">
        <v>56069.214876033053</v>
      </c>
      <c r="AA153" s="112">
        <v>1716658.0578512393</v>
      </c>
      <c r="AB153" s="107">
        <v>41.94214876065962</v>
      </c>
      <c r="AC153" s="112">
        <v>1716700</v>
      </c>
      <c r="AD153" s="28" t="s">
        <v>275</v>
      </c>
      <c r="AE153" s="68" t="s">
        <v>420</v>
      </c>
      <c r="AF153" s="16" t="s">
        <v>356</v>
      </c>
      <c r="AG153" s="4" t="b">
        <f t="shared" si="2"/>
        <v>1</v>
      </c>
    </row>
    <row r="154" spans="1:110" x14ac:dyDescent="0.2">
      <c r="A154" s="14">
        <v>146</v>
      </c>
      <c r="B154" s="28" t="s">
        <v>223</v>
      </c>
      <c r="C154" s="14" t="s">
        <v>774</v>
      </c>
      <c r="D154" s="14">
        <v>22</v>
      </c>
      <c r="E154" s="14">
        <v>0</v>
      </c>
      <c r="F154" s="14">
        <v>0</v>
      </c>
      <c r="G154" s="28" t="s">
        <v>615</v>
      </c>
      <c r="H154" s="107"/>
      <c r="I154" s="112"/>
      <c r="J154" s="107">
        <v>2188586.14</v>
      </c>
      <c r="K154" s="112">
        <v>0</v>
      </c>
      <c r="L154" s="107">
        <v>0</v>
      </c>
      <c r="M154" s="112">
        <v>164268.31198522728</v>
      </c>
      <c r="N154" s="107">
        <v>165616.15</v>
      </c>
      <c r="O154" s="112">
        <v>0</v>
      </c>
      <c r="P154" s="107">
        <v>0</v>
      </c>
      <c r="Q154" s="112">
        <v>2518470.6019852273</v>
      </c>
      <c r="R154" s="107">
        <v>12</v>
      </c>
      <c r="S154" s="112">
        <v>1712.5047045454546</v>
      </c>
      <c r="T154" s="107">
        <v>0</v>
      </c>
      <c r="U154" s="112">
        <v>0</v>
      </c>
      <c r="V154" s="107">
        <v>0</v>
      </c>
      <c r="W154" s="112">
        <v>0</v>
      </c>
      <c r="X154" s="107">
        <v>0</v>
      </c>
      <c r="Y154" s="112">
        <v>245239.3</v>
      </c>
      <c r="Z154" s="107">
        <v>246951.80470454544</v>
      </c>
      <c r="AA154" s="112">
        <v>2271518.7972806818</v>
      </c>
      <c r="AB154" s="107">
        <v>81.202719318214804</v>
      </c>
      <c r="AC154" s="112">
        <v>2271600</v>
      </c>
      <c r="AD154" s="28" t="s">
        <v>277</v>
      </c>
      <c r="AE154" s="68" t="s">
        <v>494</v>
      </c>
      <c r="AF154" s="16" t="s">
        <v>223</v>
      </c>
      <c r="AG154" s="4" t="b">
        <f t="shared" si="2"/>
        <v>1</v>
      </c>
    </row>
    <row r="155" spans="1:110" x14ac:dyDescent="0.2">
      <c r="A155" s="14">
        <v>147</v>
      </c>
      <c r="B155" s="28" t="s">
        <v>225</v>
      </c>
      <c r="C155" s="14" t="s">
        <v>775</v>
      </c>
      <c r="D155" s="14">
        <v>22</v>
      </c>
      <c r="E155" s="14">
        <v>0</v>
      </c>
      <c r="F155" s="14">
        <v>0</v>
      </c>
      <c r="G155" s="28" t="s">
        <v>628</v>
      </c>
      <c r="H155" s="107"/>
      <c r="I155" s="112"/>
      <c r="J155" s="107">
        <v>2188586.14</v>
      </c>
      <c r="K155" s="112">
        <v>0</v>
      </c>
      <c r="L155" s="107">
        <v>0</v>
      </c>
      <c r="M155" s="112">
        <v>99481</v>
      </c>
      <c r="N155" s="107">
        <v>165616.15</v>
      </c>
      <c r="O155" s="112">
        <v>130731</v>
      </c>
      <c r="P155" s="107">
        <v>0</v>
      </c>
      <c r="Q155" s="112">
        <v>2584414.29</v>
      </c>
      <c r="R155" s="107">
        <v>102</v>
      </c>
      <c r="S155" s="112">
        <v>14556.289988636365</v>
      </c>
      <c r="T155" s="107">
        <v>0</v>
      </c>
      <c r="U155" s="112">
        <v>0</v>
      </c>
      <c r="V155" s="107">
        <v>0</v>
      </c>
      <c r="W155" s="112">
        <v>0</v>
      </c>
      <c r="X155" s="107">
        <v>163414</v>
      </c>
      <c r="Y155" s="112">
        <v>245239.3</v>
      </c>
      <c r="Z155" s="107">
        <v>423209.58998863632</v>
      </c>
      <c r="AA155" s="112">
        <v>2161204.7000113637</v>
      </c>
      <c r="AB155" s="107">
        <v>95.299988636281341</v>
      </c>
      <c r="AC155" s="112">
        <v>2161300</v>
      </c>
      <c r="AD155" s="28" t="s">
        <v>279</v>
      </c>
      <c r="AE155" s="68" t="s">
        <v>547</v>
      </c>
      <c r="AF155" s="16" t="s">
        <v>225</v>
      </c>
      <c r="AG155" s="4" t="b">
        <f t="shared" si="2"/>
        <v>1</v>
      </c>
    </row>
    <row r="156" spans="1:110" x14ac:dyDescent="0.2">
      <c r="A156" s="14">
        <v>148</v>
      </c>
      <c r="B156" s="28" t="s">
        <v>228</v>
      </c>
      <c r="C156" s="14" t="s">
        <v>776</v>
      </c>
      <c r="D156" s="14">
        <v>22</v>
      </c>
      <c r="E156" s="14">
        <v>0</v>
      </c>
      <c r="F156" s="14">
        <v>0</v>
      </c>
      <c r="G156" s="28" t="s">
        <v>642</v>
      </c>
      <c r="H156" s="107"/>
      <c r="I156" s="112"/>
      <c r="J156" s="107">
        <v>1673624.69</v>
      </c>
      <c r="K156" s="112">
        <v>0</v>
      </c>
      <c r="L156" s="107">
        <v>0</v>
      </c>
      <c r="M156" s="112">
        <v>0</v>
      </c>
      <c r="N156" s="107">
        <v>165616.15</v>
      </c>
      <c r="O156" s="112">
        <v>0</v>
      </c>
      <c r="P156" s="107">
        <v>0</v>
      </c>
      <c r="Q156" s="112">
        <v>1839240.8399999999</v>
      </c>
      <c r="R156" s="107">
        <v>0</v>
      </c>
      <c r="S156" s="112">
        <v>0</v>
      </c>
      <c r="T156" s="107">
        <v>0</v>
      </c>
      <c r="U156" s="112">
        <v>0</v>
      </c>
      <c r="V156" s="107">
        <v>0</v>
      </c>
      <c r="W156" s="112">
        <v>0</v>
      </c>
      <c r="X156" s="107">
        <v>0</v>
      </c>
      <c r="Y156" s="112">
        <v>245239.3</v>
      </c>
      <c r="Z156" s="107">
        <v>245239.3</v>
      </c>
      <c r="AA156" s="112">
        <v>1594001.5399999998</v>
      </c>
      <c r="AB156" s="107">
        <v>98.460000000195578</v>
      </c>
      <c r="AC156" s="112">
        <v>1594100</v>
      </c>
      <c r="AD156" s="28" t="s">
        <v>281</v>
      </c>
      <c r="AE156" s="68" t="s">
        <v>463</v>
      </c>
      <c r="AF156" s="16" t="s">
        <v>228</v>
      </c>
      <c r="AG156" s="4" t="b">
        <f t="shared" si="2"/>
        <v>1</v>
      </c>
    </row>
    <row r="157" spans="1:110" x14ac:dyDescent="0.2">
      <c r="A157" s="14">
        <v>149</v>
      </c>
      <c r="B157" s="28" t="s">
        <v>239</v>
      </c>
      <c r="C157" s="14" t="s">
        <v>777</v>
      </c>
      <c r="D157" s="14">
        <v>22</v>
      </c>
      <c r="E157" s="14">
        <v>0</v>
      </c>
      <c r="F157" s="14">
        <v>0</v>
      </c>
      <c r="G157" s="28" t="s">
        <v>630</v>
      </c>
      <c r="H157" s="107"/>
      <c r="I157" s="112"/>
      <c r="J157" s="107">
        <v>1673624.69</v>
      </c>
      <c r="K157" s="112">
        <v>0</v>
      </c>
      <c r="L157" s="107">
        <v>0</v>
      </c>
      <c r="M157" s="112">
        <v>11220.892807954544</v>
      </c>
      <c r="N157" s="107">
        <v>0</v>
      </c>
      <c r="O157" s="112">
        <v>0</v>
      </c>
      <c r="P157" s="107">
        <v>0</v>
      </c>
      <c r="Q157" s="112">
        <v>1684845.5828079544</v>
      </c>
      <c r="R157" s="107">
        <v>146</v>
      </c>
      <c r="S157" s="112">
        <v>13715.741736742424</v>
      </c>
      <c r="T157" s="107">
        <v>0</v>
      </c>
      <c r="U157" s="112">
        <v>0</v>
      </c>
      <c r="V157" s="107">
        <v>0</v>
      </c>
      <c r="W157" s="112">
        <v>0</v>
      </c>
      <c r="X157" s="107">
        <v>0</v>
      </c>
      <c r="Y157" s="112">
        <v>0</v>
      </c>
      <c r="Z157" s="107">
        <v>13715.741736742424</v>
      </c>
      <c r="AA157" s="112">
        <v>1671129.841071212</v>
      </c>
      <c r="AB157" s="107">
        <v>70.158928788034245</v>
      </c>
      <c r="AC157" s="112">
        <v>1671200</v>
      </c>
      <c r="AD157" s="28" t="s">
        <v>282</v>
      </c>
      <c r="AE157" s="68" t="s">
        <v>506</v>
      </c>
      <c r="AF157" s="16" t="s">
        <v>239</v>
      </c>
      <c r="AG157" s="4" t="b">
        <f t="shared" si="2"/>
        <v>1</v>
      </c>
    </row>
    <row r="158" spans="1:110" x14ac:dyDescent="0.2">
      <c r="A158" s="14">
        <v>150</v>
      </c>
      <c r="B158" s="28" t="s">
        <v>242</v>
      </c>
      <c r="C158" s="14" t="s">
        <v>778</v>
      </c>
      <c r="D158" s="14">
        <v>22</v>
      </c>
      <c r="E158" s="14">
        <v>0</v>
      </c>
      <c r="F158" s="14">
        <v>0</v>
      </c>
      <c r="G158" s="28" t="s">
        <v>639</v>
      </c>
      <c r="H158" s="107"/>
      <c r="I158" s="112"/>
      <c r="J158" s="107">
        <v>2188586.14</v>
      </c>
      <c r="K158" s="112">
        <v>0</v>
      </c>
      <c r="L158" s="107">
        <v>0</v>
      </c>
      <c r="M158" s="112">
        <v>99481</v>
      </c>
      <c r="N158" s="107">
        <v>165616.15</v>
      </c>
      <c r="O158" s="112">
        <v>130731</v>
      </c>
      <c r="P158" s="107">
        <v>0</v>
      </c>
      <c r="Q158" s="112">
        <v>2584414.29</v>
      </c>
      <c r="R158" s="107">
        <v>16</v>
      </c>
      <c r="S158" s="112">
        <v>2283.3396060606065</v>
      </c>
      <c r="T158" s="107">
        <v>0</v>
      </c>
      <c r="U158" s="112">
        <v>0</v>
      </c>
      <c r="V158" s="107">
        <v>0</v>
      </c>
      <c r="W158" s="112">
        <v>0</v>
      </c>
      <c r="X158" s="107">
        <v>163414</v>
      </c>
      <c r="Y158" s="112">
        <v>245239.3</v>
      </c>
      <c r="Z158" s="107">
        <v>410936.63960606058</v>
      </c>
      <c r="AA158" s="112">
        <v>2173477.6503939396</v>
      </c>
      <c r="AB158" s="107">
        <v>22.349606060422957</v>
      </c>
      <c r="AC158" s="112">
        <v>2173500</v>
      </c>
      <c r="AD158" s="28" t="s">
        <v>284</v>
      </c>
      <c r="AE158" s="68" t="s">
        <v>553</v>
      </c>
      <c r="AF158" s="16" t="s">
        <v>242</v>
      </c>
      <c r="AG158" s="4" t="b">
        <f t="shared" si="2"/>
        <v>1</v>
      </c>
    </row>
    <row r="159" spans="1:110" x14ac:dyDescent="0.2">
      <c r="A159" s="14">
        <v>151</v>
      </c>
      <c r="B159" s="28" t="s">
        <v>862</v>
      </c>
      <c r="C159" s="14" t="s">
        <v>779</v>
      </c>
      <c r="D159" s="14">
        <v>22</v>
      </c>
      <c r="E159" s="14">
        <v>0</v>
      </c>
      <c r="F159" s="14">
        <v>0</v>
      </c>
      <c r="G159" s="28" t="s">
        <v>616</v>
      </c>
      <c r="H159" s="107"/>
      <c r="I159" s="112"/>
      <c r="J159" s="107">
        <v>1493388.19</v>
      </c>
      <c r="K159" s="112">
        <v>0</v>
      </c>
      <c r="L159" s="107">
        <v>0</v>
      </c>
      <c r="M159" s="112">
        <v>0</v>
      </c>
      <c r="N159" s="107">
        <v>165616.15</v>
      </c>
      <c r="O159" s="112">
        <v>0</v>
      </c>
      <c r="P159" s="107">
        <v>0</v>
      </c>
      <c r="Q159" s="112">
        <v>1659004.3399999999</v>
      </c>
      <c r="R159" s="107">
        <v>11</v>
      </c>
      <c r="S159" s="112">
        <v>845.63144791666662</v>
      </c>
      <c r="T159" s="107">
        <v>0</v>
      </c>
      <c r="U159" s="112">
        <v>0</v>
      </c>
      <c r="V159" s="107">
        <v>0</v>
      </c>
      <c r="W159" s="112">
        <v>0</v>
      </c>
      <c r="X159" s="107">
        <v>0</v>
      </c>
      <c r="Y159" s="112">
        <v>245239.3</v>
      </c>
      <c r="Z159" s="107">
        <v>246084.93144791666</v>
      </c>
      <c r="AA159" s="112">
        <v>1412919.4085520832</v>
      </c>
      <c r="AB159" s="107">
        <v>80.591447916813195</v>
      </c>
      <c r="AC159" s="112">
        <v>1413000</v>
      </c>
      <c r="AD159" s="28" t="s">
        <v>286</v>
      </c>
      <c r="AE159" s="68" t="s">
        <v>450</v>
      </c>
      <c r="AF159" s="16" t="s">
        <v>862</v>
      </c>
      <c r="AG159" s="4" t="b">
        <f t="shared" si="2"/>
        <v>1</v>
      </c>
    </row>
    <row r="160" spans="1:110" x14ac:dyDescent="0.2">
      <c r="A160" s="14">
        <v>152</v>
      </c>
      <c r="B160" s="28" t="s">
        <v>246</v>
      </c>
      <c r="C160" s="14" t="s">
        <v>780</v>
      </c>
      <c r="D160" s="14">
        <v>22</v>
      </c>
      <c r="E160" s="14">
        <v>0</v>
      </c>
      <c r="F160" s="14">
        <v>0</v>
      </c>
      <c r="G160" s="28" t="s">
        <v>616</v>
      </c>
      <c r="H160" s="107"/>
      <c r="I160" s="112"/>
      <c r="J160" s="107">
        <v>1493388.19</v>
      </c>
      <c r="K160" s="112">
        <v>0</v>
      </c>
      <c r="L160" s="107">
        <v>0</v>
      </c>
      <c r="M160" s="112">
        <v>0</v>
      </c>
      <c r="N160" s="107">
        <v>165616.15</v>
      </c>
      <c r="O160" s="112">
        <v>0</v>
      </c>
      <c r="P160" s="107">
        <v>0</v>
      </c>
      <c r="Q160" s="112">
        <v>1659004.3399999999</v>
      </c>
      <c r="R160" s="107">
        <v>0</v>
      </c>
      <c r="S160" s="112">
        <v>0</v>
      </c>
      <c r="T160" s="107">
        <v>0</v>
      </c>
      <c r="U160" s="112">
        <v>0</v>
      </c>
      <c r="V160" s="107">
        <v>0</v>
      </c>
      <c r="W160" s="112">
        <v>0</v>
      </c>
      <c r="X160" s="107">
        <v>0</v>
      </c>
      <c r="Y160" s="112">
        <v>245239.3</v>
      </c>
      <c r="Z160" s="107">
        <v>245239.3</v>
      </c>
      <c r="AA160" s="112">
        <v>1413765.0399999998</v>
      </c>
      <c r="AB160" s="107">
        <v>34.960000000195578</v>
      </c>
      <c r="AC160" s="112">
        <v>1413800</v>
      </c>
      <c r="AD160" s="28" t="s">
        <v>287</v>
      </c>
      <c r="AE160" s="68" t="s">
        <v>451</v>
      </c>
      <c r="AF160" s="16" t="s">
        <v>246</v>
      </c>
      <c r="AG160" s="4" t="b">
        <f t="shared" si="2"/>
        <v>1</v>
      </c>
    </row>
    <row r="161" spans="1:33" x14ac:dyDescent="0.2">
      <c r="A161" s="14">
        <v>153</v>
      </c>
      <c r="B161" s="28" t="s">
        <v>863</v>
      </c>
      <c r="C161" s="14" t="s">
        <v>781</v>
      </c>
      <c r="D161" s="14">
        <v>22</v>
      </c>
      <c r="E161" s="14">
        <v>0</v>
      </c>
      <c r="F161" s="14">
        <v>0</v>
      </c>
      <c r="G161" s="28" t="s">
        <v>644</v>
      </c>
      <c r="H161" s="107"/>
      <c r="I161" s="112"/>
      <c r="J161" s="107">
        <v>1673624.69</v>
      </c>
      <c r="K161" s="112">
        <v>0</v>
      </c>
      <c r="L161" s="107">
        <v>0</v>
      </c>
      <c r="M161" s="112">
        <v>0</v>
      </c>
      <c r="N161" s="107">
        <v>165616.15</v>
      </c>
      <c r="O161" s="112">
        <v>0</v>
      </c>
      <c r="P161" s="107">
        <v>0</v>
      </c>
      <c r="Q161" s="112">
        <v>1839240.8399999999</v>
      </c>
      <c r="R161" s="107">
        <v>0</v>
      </c>
      <c r="S161" s="112">
        <v>0</v>
      </c>
      <c r="T161" s="107">
        <v>0</v>
      </c>
      <c r="U161" s="112">
        <v>0</v>
      </c>
      <c r="V161" s="107">
        <v>0</v>
      </c>
      <c r="W161" s="112">
        <v>681582</v>
      </c>
      <c r="X161" s="107">
        <v>0</v>
      </c>
      <c r="Y161" s="112">
        <v>245239.3</v>
      </c>
      <c r="Z161" s="107">
        <v>926821.3</v>
      </c>
      <c r="AA161" s="112">
        <v>912419.5399999998</v>
      </c>
      <c r="AB161" s="107">
        <v>80.460000000195578</v>
      </c>
      <c r="AC161" s="112">
        <v>912500</v>
      </c>
      <c r="AD161" s="28" t="s">
        <v>289</v>
      </c>
      <c r="AE161" s="68" t="s">
        <v>431</v>
      </c>
      <c r="AF161" s="16" t="s">
        <v>863</v>
      </c>
      <c r="AG161" s="4" t="b">
        <f t="shared" si="2"/>
        <v>1</v>
      </c>
    </row>
    <row r="162" spans="1:33" x14ac:dyDescent="0.2">
      <c r="A162" s="14">
        <v>154</v>
      </c>
      <c r="B162" s="28" t="s">
        <v>250</v>
      </c>
      <c r="C162" s="14" t="s">
        <v>782</v>
      </c>
      <c r="D162" s="14">
        <v>22</v>
      </c>
      <c r="E162" s="14">
        <v>0</v>
      </c>
      <c r="F162" s="14">
        <v>0</v>
      </c>
      <c r="G162" s="28" t="s">
        <v>648</v>
      </c>
      <c r="H162" s="107"/>
      <c r="I162" s="112"/>
      <c r="J162" s="107">
        <v>2188586.14</v>
      </c>
      <c r="K162" s="112">
        <v>0</v>
      </c>
      <c r="L162" s="107">
        <v>0</v>
      </c>
      <c r="M162" s="112">
        <v>134423.95553068182</v>
      </c>
      <c r="N162" s="107">
        <v>165616.15</v>
      </c>
      <c r="O162" s="112">
        <v>0</v>
      </c>
      <c r="P162" s="107">
        <v>0</v>
      </c>
      <c r="Q162" s="112">
        <v>2488626.2455306817</v>
      </c>
      <c r="R162" s="107">
        <v>29</v>
      </c>
      <c r="S162" s="112">
        <v>4138.553035984849</v>
      </c>
      <c r="T162" s="107">
        <v>0</v>
      </c>
      <c r="U162" s="112">
        <v>0</v>
      </c>
      <c r="V162" s="107">
        <v>0</v>
      </c>
      <c r="W162" s="112">
        <v>0</v>
      </c>
      <c r="X162" s="107">
        <v>0</v>
      </c>
      <c r="Y162" s="112">
        <v>245239.3</v>
      </c>
      <c r="Z162" s="107">
        <v>249377.85303598485</v>
      </c>
      <c r="AA162" s="112">
        <v>2239248.3924946967</v>
      </c>
      <c r="AB162" s="107">
        <v>51.607505303341895</v>
      </c>
      <c r="AC162" s="112">
        <v>2239300</v>
      </c>
      <c r="AD162" s="28" t="s">
        <v>290</v>
      </c>
      <c r="AE162" s="68" t="s">
        <v>560</v>
      </c>
      <c r="AF162" s="16" t="s">
        <v>250</v>
      </c>
      <c r="AG162" s="4" t="b">
        <f t="shared" si="2"/>
        <v>1</v>
      </c>
    </row>
    <row r="163" spans="1:33" x14ac:dyDescent="0.2">
      <c r="A163" s="14">
        <v>155</v>
      </c>
      <c r="B163" s="28" t="s">
        <v>311</v>
      </c>
      <c r="C163" s="14" t="s">
        <v>783</v>
      </c>
      <c r="D163" s="14">
        <v>22</v>
      </c>
      <c r="E163" s="14">
        <v>0</v>
      </c>
      <c r="F163" s="14">
        <v>0</v>
      </c>
      <c r="G163" s="28" t="s">
        <v>624</v>
      </c>
      <c r="H163" s="107"/>
      <c r="I163" s="112"/>
      <c r="J163" s="107">
        <v>2188586.14</v>
      </c>
      <c r="K163" s="112">
        <v>0</v>
      </c>
      <c r="L163" s="107">
        <v>0</v>
      </c>
      <c r="M163" s="112">
        <v>0</v>
      </c>
      <c r="N163" s="107">
        <v>165616.15</v>
      </c>
      <c r="O163" s="112">
        <v>0</v>
      </c>
      <c r="P163" s="107">
        <v>0</v>
      </c>
      <c r="Q163" s="112">
        <v>2354202.29</v>
      </c>
      <c r="R163" s="107">
        <v>31</v>
      </c>
      <c r="S163" s="112">
        <v>4423.9704867424243</v>
      </c>
      <c r="T163" s="107">
        <v>0</v>
      </c>
      <c r="U163" s="112">
        <v>0</v>
      </c>
      <c r="V163" s="107">
        <v>0</v>
      </c>
      <c r="W163" s="112">
        <v>0</v>
      </c>
      <c r="X163" s="107">
        <v>0</v>
      </c>
      <c r="Y163" s="112">
        <v>245239.3</v>
      </c>
      <c r="Z163" s="107">
        <v>249663.2704867424</v>
      </c>
      <c r="AA163" s="112">
        <v>2104539.0195132578</v>
      </c>
      <c r="AB163" s="107">
        <v>60.980486742220819</v>
      </c>
      <c r="AC163" s="112">
        <v>2104600</v>
      </c>
      <c r="AD163" s="28"/>
      <c r="AE163" s="68" t="s">
        <v>525</v>
      </c>
      <c r="AF163" s="16" t="s">
        <v>311</v>
      </c>
      <c r="AG163" s="4" t="b">
        <f t="shared" si="2"/>
        <v>1</v>
      </c>
    </row>
    <row r="164" spans="1:33" x14ac:dyDescent="0.2">
      <c r="A164" s="14">
        <v>156</v>
      </c>
      <c r="B164" s="28" t="s">
        <v>252</v>
      </c>
      <c r="C164" s="14" t="s">
        <v>784</v>
      </c>
      <c r="D164" s="14">
        <v>22</v>
      </c>
      <c r="E164" s="14">
        <v>0</v>
      </c>
      <c r="F164" s="14">
        <v>0</v>
      </c>
      <c r="G164" s="58" t="s">
        <v>647</v>
      </c>
      <c r="H164" s="107"/>
      <c r="I164" s="112"/>
      <c r="J164" s="107">
        <v>1802365.05</v>
      </c>
      <c r="K164" s="112">
        <v>0</v>
      </c>
      <c r="L164" s="107">
        <v>0</v>
      </c>
      <c r="M164" s="112">
        <v>165899.51028409094</v>
      </c>
      <c r="N164" s="107">
        <v>0</v>
      </c>
      <c r="O164" s="112">
        <v>0</v>
      </c>
      <c r="P164" s="107">
        <v>0</v>
      </c>
      <c r="Q164" s="112">
        <v>1968264.5602840909</v>
      </c>
      <c r="R164" s="107">
        <v>39</v>
      </c>
      <c r="S164" s="112">
        <v>4139.255582386364</v>
      </c>
      <c r="T164" s="107">
        <v>0</v>
      </c>
      <c r="U164" s="112">
        <v>0</v>
      </c>
      <c r="V164" s="107">
        <v>0</v>
      </c>
      <c r="W164" s="112">
        <v>0</v>
      </c>
      <c r="X164" s="107">
        <v>0</v>
      </c>
      <c r="Y164" s="112">
        <v>0</v>
      </c>
      <c r="Z164" s="107">
        <v>4139.255582386364</v>
      </c>
      <c r="AA164" s="112">
        <v>1964125.3047017045</v>
      </c>
      <c r="AB164" s="107">
        <v>74.695298295468092</v>
      </c>
      <c r="AC164" s="112">
        <v>1964200</v>
      </c>
      <c r="AD164" s="28"/>
      <c r="AE164" s="68" t="s">
        <v>435</v>
      </c>
      <c r="AF164" s="16" t="s">
        <v>252</v>
      </c>
      <c r="AG164" s="4" t="b">
        <f t="shared" si="2"/>
        <v>1</v>
      </c>
    </row>
    <row r="165" spans="1:33" x14ac:dyDescent="0.2">
      <c r="A165" s="14">
        <v>157</v>
      </c>
      <c r="B165" s="28" t="s">
        <v>312</v>
      </c>
      <c r="C165" s="14" t="s">
        <v>785</v>
      </c>
      <c r="D165" s="14">
        <v>22</v>
      </c>
      <c r="E165" s="14">
        <v>0</v>
      </c>
      <c r="F165" s="14">
        <v>0</v>
      </c>
      <c r="G165" s="28" t="s">
        <v>649</v>
      </c>
      <c r="H165" s="107"/>
      <c r="I165" s="112"/>
      <c r="J165" s="107">
        <v>3000000</v>
      </c>
      <c r="K165" s="112">
        <v>0</v>
      </c>
      <c r="L165" s="107">
        <v>0</v>
      </c>
      <c r="M165" s="112">
        <v>33068.18181818178</v>
      </c>
      <c r="N165" s="107">
        <v>0</v>
      </c>
      <c r="O165" s="112">
        <v>130731</v>
      </c>
      <c r="P165" s="107">
        <v>0</v>
      </c>
      <c r="Q165" s="112">
        <v>3163799.1818181816</v>
      </c>
      <c r="R165" s="107">
        <v>140</v>
      </c>
      <c r="S165" s="112">
        <v>30736.602272727272</v>
      </c>
      <c r="T165" s="107">
        <v>0</v>
      </c>
      <c r="U165" s="112">
        <v>0</v>
      </c>
      <c r="V165" s="107">
        <v>0</v>
      </c>
      <c r="W165" s="112">
        <v>0</v>
      </c>
      <c r="X165" s="107">
        <v>163414</v>
      </c>
      <c r="Y165" s="112">
        <v>0</v>
      </c>
      <c r="Z165" s="107">
        <v>194150.60227272726</v>
      </c>
      <c r="AA165" s="112">
        <v>2969648.5795454546</v>
      </c>
      <c r="AB165" s="107">
        <v>51.420454545412213</v>
      </c>
      <c r="AC165" s="112">
        <v>2969700</v>
      </c>
      <c r="AD165" s="28"/>
      <c r="AE165" s="68" t="s">
        <v>915</v>
      </c>
      <c r="AF165" s="16" t="s">
        <v>312</v>
      </c>
      <c r="AG165" s="4" t="b">
        <f t="shared" si="2"/>
        <v>1</v>
      </c>
    </row>
    <row r="166" spans="1:33" x14ac:dyDescent="0.2">
      <c r="A166" s="14">
        <v>158</v>
      </c>
      <c r="B166" s="28" t="s">
        <v>254</v>
      </c>
      <c r="C166" s="14" t="s">
        <v>786</v>
      </c>
      <c r="D166" s="14">
        <v>22</v>
      </c>
      <c r="E166" s="14">
        <v>0</v>
      </c>
      <c r="F166" s="14">
        <v>0</v>
      </c>
      <c r="G166" s="28" t="s">
        <v>630</v>
      </c>
      <c r="H166" s="107"/>
      <c r="I166" s="112"/>
      <c r="J166" s="107">
        <v>1673624.69</v>
      </c>
      <c r="K166" s="112">
        <v>0</v>
      </c>
      <c r="L166" s="107">
        <v>0</v>
      </c>
      <c r="M166" s="112">
        <v>21490.862496590918</v>
      </c>
      <c r="N166" s="107">
        <v>0</v>
      </c>
      <c r="O166" s="112">
        <v>0</v>
      </c>
      <c r="P166" s="107">
        <v>0</v>
      </c>
      <c r="Q166" s="112">
        <v>1695115.5524965909</v>
      </c>
      <c r="R166" s="107">
        <v>0</v>
      </c>
      <c r="S166" s="112">
        <v>0</v>
      </c>
      <c r="T166" s="107">
        <v>0</v>
      </c>
      <c r="U166" s="112">
        <v>0</v>
      </c>
      <c r="V166" s="107">
        <v>0</v>
      </c>
      <c r="W166" s="112">
        <v>0</v>
      </c>
      <c r="X166" s="107">
        <v>0</v>
      </c>
      <c r="Y166" s="112">
        <v>0</v>
      </c>
      <c r="Z166" s="107">
        <v>0</v>
      </c>
      <c r="AA166" s="112">
        <v>1695115.5524965909</v>
      </c>
      <c r="AB166" s="107">
        <v>84.447503409115598</v>
      </c>
      <c r="AC166" s="112">
        <v>1695200</v>
      </c>
      <c r="AD166" s="28"/>
      <c r="AE166" s="68" t="s">
        <v>507</v>
      </c>
      <c r="AF166" s="16" t="s">
        <v>254</v>
      </c>
      <c r="AG166" s="4" t="b">
        <f t="shared" si="2"/>
        <v>1</v>
      </c>
    </row>
    <row r="167" spans="1:33" x14ac:dyDescent="0.2">
      <c r="A167" s="14">
        <v>159</v>
      </c>
      <c r="B167" s="28" t="s">
        <v>256</v>
      </c>
      <c r="C167" s="14" t="s">
        <v>787</v>
      </c>
      <c r="D167" s="14">
        <v>22</v>
      </c>
      <c r="E167" s="14">
        <v>0</v>
      </c>
      <c r="F167" s="14">
        <v>0</v>
      </c>
      <c r="G167" s="58" t="s">
        <v>627</v>
      </c>
      <c r="H167" s="107"/>
      <c r="I167" s="112"/>
      <c r="J167" s="107">
        <v>2188586.14</v>
      </c>
      <c r="K167" s="112">
        <v>0</v>
      </c>
      <c r="L167" s="107">
        <v>0</v>
      </c>
      <c r="M167" s="112">
        <v>198962</v>
      </c>
      <c r="N167" s="107">
        <v>0</v>
      </c>
      <c r="O167" s="112">
        <v>0</v>
      </c>
      <c r="P167" s="107">
        <v>0</v>
      </c>
      <c r="Q167" s="112">
        <v>2387548.14</v>
      </c>
      <c r="R167" s="107">
        <v>91</v>
      </c>
      <c r="S167" s="112">
        <v>12986.494009469698</v>
      </c>
      <c r="T167" s="107">
        <v>0</v>
      </c>
      <c r="U167" s="112">
        <v>0</v>
      </c>
      <c r="V167" s="107">
        <v>0</v>
      </c>
      <c r="W167" s="112">
        <v>0</v>
      </c>
      <c r="X167" s="107">
        <v>0</v>
      </c>
      <c r="Y167" s="112">
        <v>0</v>
      </c>
      <c r="Z167" s="107">
        <v>12986.494009469698</v>
      </c>
      <c r="AA167" s="112">
        <v>2374561.6459905305</v>
      </c>
      <c r="AB167" s="107">
        <v>38.354009469505399</v>
      </c>
      <c r="AC167" s="112">
        <v>2374600</v>
      </c>
      <c r="AD167" s="28"/>
      <c r="AE167" s="68" t="s">
        <v>539</v>
      </c>
      <c r="AF167" s="16" t="s">
        <v>256</v>
      </c>
      <c r="AG167" s="4" t="b">
        <f t="shared" si="2"/>
        <v>1</v>
      </c>
    </row>
    <row r="168" spans="1:33" x14ac:dyDescent="0.2">
      <c r="A168" s="14">
        <v>160</v>
      </c>
      <c r="B168" s="28" t="s">
        <v>864</v>
      </c>
      <c r="C168" s="14" t="s">
        <v>788</v>
      </c>
      <c r="D168" s="14">
        <v>22</v>
      </c>
      <c r="E168" s="14">
        <v>0</v>
      </c>
      <c r="F168" s="14">
        <v>0</v>
      </c>
      <c r="G168" s="28" t="s">
        <v>644</v>
      </c>
      <c r="H168" s="107"/>
      <c r="I168" s="112"/>
      <c r="J168" s="107">
        <v>1673624.69</v>
      </c>
      <c r="K168" s="112">
        <v>0</v>
      </c>
      <c r="L168" s="107">
        <v>0</v>
      </c>
      <c r="M168" s="112">
        <v>477553.59052159108</v>
      </c>
      <c r="N168" s="107">
        <v>0</v>
      </c>
      <c r="O168" s="112">
        <v>0</v>
      </c>
      <c r="P168" s="107">
        <v>0</v>
      </c>
      <c r="Q168" s="112">
        <v>2151178.2805215912</v>
      </c>
      <c r="R168" s="107">
        <v>0</v>
      </c>
      <c r="S168" s="112">
        <v>0</v>
      </c>
      <c r="T168" s="107">
        <v>0</v>
      </c>
      <c r="U168" s="112">
        <v>0</v>
      </c>
      <c r="V168" s="107">
        <v>0</v>
      </c>
      <c r="W168" s="112">
        <v>0</v>
      </c>
      <c r="X168" s="107">
        <v>0</v>
      </c>
      <c r="Y168" s="112">
        <v>0</v>
      </c>
      <c r="Z168" s="107">
        <v>0</v>
      </c>
      <c r="AA168" s="112">
        <v>2151178.2805215912</v>
      </c>
      <c r="AB168" s="107">
        <v>21.719478408806026</v>
      </c>
      <c r="AC168" s="112">
        <v>2151200</v>
      </c>
      <c r="AD168" s="28" t="s">
        <v>351</v>
      </c>
      <c r="AE168" s="68" t="s">
        <v>432</v>
      </c>
      <c r="AF168" s="16" t="s">
        <v>864</v>
      </c>
      <c r="AG168" s="4" t="b">
        <f t="shared" si="2"/>
        <v>1</v>
      </c>
    </row>
    <row r="169" spans="1:33" x14ac:dyDescent="0.2">
      <c r="A169" s="14">
        <v>161</v>
      </c>
      <c r="B169" s="28" t="s">
        <v>263</v>
      </c>
      <c r="C169" s="14" t="s">
        <v>789</v>
      </c>
      <c r="D169" s="14">
        <v>22</v>
      </c>
      <c r="E169" s="14">
        <v>0</v>
      </c>
      <c r="F169" s="14">
        <v>0</v>
      </c>
      <c r="G169" s="28" t="s">
        <v>624</v>
      </c>
      <c r="H169" s="107"/>
      <c r="I169" s="112"/>
      <c r="J169" s="107">
        <v>2188586.14</v>
      </c>
      <c r="K169" s="112">
        <v>0</v>
      </c>
      <c r="L169" s="107">
        <v>0</v>
      </c>
      <c r="M169" s="112">
        <v>13429.960404545434</v>
      </c>
      <c r="N169" s="107">
        <v>0</v>
      </c>
      <c r="O169" s="112">
        <v>0</v>
      </c>
      <c r="P169" s="107">
        <v>0</v>
      </c>
      <c r="Q169" s="112">
        <v>2202016.1004045457</v>
      </c>
      <c r="R169" s="107">
        <v>0</v>
      </c>
      <c r="S169" s="112">
        <v>0</v>
      </c>
      <c r="T169" s="107">
        <v>0</v>
      </c>
      <c r="U169" s="112">
        <v>0</v>
      </c>
      <c r="V169" s="107">
        <v>0</v>
      </c>
      <c r="W169" s="112">
        <v>0</v>
      </c>
      <c r="X169" s="107">
        <v>0</v>
      </c>
      <c r="Y169" s="112">
        <v>0</v>
      </c>
      <c r="Z169" s="107">
        <v>0</v>
      </c>
      <c r="AA169" s="112">
        <v>2202016.1004045457</v>
      </c>
      <c r="AB169" s="107">
        <v>83.899595454335213</v>
      </c>
      <c r="AC169" s="112">
        <v>2202100</v>
      </c>
      <c r="AD169" s="28" t="s">
        <v>371</v>
      </c>
      <c r="AE169" s="68" t="s">
        <v>526</v>
      </c>
      <c r="AF169" s="16" t="s">
        <v>263</v>
      </c>
      <c r="AG169" s="4" t="b">
        <f t="shared" si="2"/>
        <v>1</v>
      </c>
    </row>
    <row r="170" spans="1:33" x14ac:dyDescent="0.2">
      <c r="A170" s="14">
        <v>162</v>
      </c>
      <c r="B170" s="28" t="s">
        <v>313</v>
      </c>
      <c r="C170" s="14" t="s">
        <v>790</v>
      </c>
      <c r="D170" s="14">
        <v>22</v>
      </c>
      <c r="E170" s="14">
        <v>0</v>
      </c>
      <c r="F170" s="14">
        <v>0</v>
      </c>
      <c r="G170" s="28" t="s">
        <v>628</v>
      </c>
      <c r="H170" s="107"/>
      <c r="I170" s="112"/>
      <c r="J170" s="107">
        <v>2188586.14</v>
      </c>
      <c r="K170" s="112">
        <v>0</v>
      </c>
      <c r="L170" s="107">
        <v>0</v>
      </c>
      <c r="M170" s="112">
        <v>99481</v>
      </c>
      <c r="N170" s="107">
        <v>0</v>
      </c>
      <c r="O170" s="112">
        <v>0</v>
      </c>
      <c r="P170" s="107">
        <v>0</v>
      </c>
      <c r="Q170" s="112">
        <v>2288067.14</v>
      </c>
      <c r="R170" s="107">
        <v>218</v>
      </c>
      <c r="S170" s="112">
        <v>31110.502132575763</v>
      </c>
      <c r="T170" s="107">
        <v>0</v>
      </c>
      <c r="U170" s="112">
        <v>0</v>
      </c>
      <c r="V170" s="107">
        <v>0</v>
      </c>
      <c r="W170" s="112">
        <v>0</v>
      </c>
      <c r="X170" s="107">
        <v>0</v>
      </c>
      <c r="Y170" s="112">
        <v>0</v>
      </c>
      <c r="Z170" s="107">
        <v>31110.502132575763</v>
      </c>
      <c r="AA170" s="112">
        <v>2256956.6378674242</v>
      </c>
      <c r="AB170" s="107">
        <v>43.362132575828582</v>
      </c>
      <c r="AC170" s="112">
        <v>2257000</v>
      </c>
      <c r="AD170" s="28" t="s">
        <v>372</v>
      </c>
      <c r="AE170" s="68" t="s">
        <v>554</v>
      </c>
      <c r="AF170" s="16" t="s">
        <v>313</v>
      </c>
      <c r="AG170" s="4" t="b">
        <f t="shared" si="2"/>
        <v>1</v>
      </c>
    </row>
    <row r="171" spans="1:33" x14ac:dyDescent="0.2">
      <c r="A171" s="14">
        <v>163</v>
      </c>
      <c r="B171" s="28" t="s">
        <v>865</v>
      </c>
      <c r="C171" s="14" t="s">
        <v>791</v>
      </c>
      <c r="D171" s="14">
        <v>22</v>
      </c>
      <c r="E171" s="14">
        <v>0</v>
      </c>
      <c r="F171" s="14">
        <v>0</v>
      </c>
      <c r="G171" s="28" t="s">
        <v>633</v>
      </c>
      <c r="H171" s="107"/>
      <c r="I171" s="112"/>
      <c r="J171" s="107">
        <v>2188586.14</v>
      </c>
      <c r="K171" s="112">
        <v>0</v>
      </c>
      <c r="L171" s="107">
        <v>0</v>
      </c>
      <c r="M171" s="112">
        <v>0</v>
      </c>
      <c r="N171" s="107">
        <v>0</v>
      </c>
      <c r="O171" s="112">
        <v>0</v>
      </c>
      <c r="P171" s="107">
        <v>0</v>
      </c>
      <c r="Q171" s="112">
        <v>2188586.14</v>
      </c>
      <c r="R171" s="107">
        <v>10</v>
      </c>
      <c r="S171" s="112">
        <v>1427.087253787879</v>
      </c>
      <c r="T171" s="107">
        <v>0</v>
      </c>
      <c r="U171" s="112">
        <v>0</v>
      </c>
      <c r="V171" s="107">
        <v>0</v>
      </c>
      <c r="W171" s="112">
        <v>0</v>
      </c>
      <c r="X171" s="107">
        <v>0</v>
      </c>
      <c r="Y171" s="112">
        <v>0</v>
      </c>
      <c r="Z171" s="107">
        <v>1427.087253787879</v>
      </c>
      <c r="AA171" s="112">
        <v>2187159.0527462121</v>
      </c>
      <c r="AB171" s="107">
        <v>40.947253787890077</v>
      </c>
      <c r="AC171" s="112">
        <v>2187200</v>
      </c>
      <c r="AD171" s="28" t="s">
        <v>377</v>
      </c>
      <c r="AE171" s="68" t="s">
        <v>485</v>
      </c>
      <c r="AF171" s="16" t="s">
        <v>865</v>
      </c>
      <c r="AG171" s="4" t="b">
        <f t="shared" si="2"/>
        <v>1</v>
      </c>
    </row>
    <row r="172" spans="1:33" x14ac:dyDescent="0.2">
      <c r="A172" s="14">
        <v>164</v>
      </c>
      <c r="B172" s="28" t="s">
        <v>268</v>
      </c>
      <c r="C172" s="14" t="s">
        <v>792</v>
      </c>
      <c r="D172" s="14">
        <v>22</v>
      </c>
      <c r="E172" s="14">
        <v>0</v>
      </c>
      <c r="F172" s="14">
        <v>0</v>
      </c>
      <c r="G172" s="28" t="s">
        <v>650</v>
      </c>
      <c r="H172" s="107"/>
      <c r="I172" s="112"/>
      <c r="J172" s="107">
        <v>1802365.05</v>
      </c>
      <c r="K172" s="112">
        <v>0</v>
      </c>
      <c r="L172" s="107">
        <v>0</v>
      </c>
      <c r="M172" s="112">
        <v>337841.03976988635</v>
      </c>
      <c r="N172" s="107">
        <v>0</v>
      </c>
      <c r="O172" s="112">
        <v>130731</v>
      </c>
      <c r="P172" s="107">
        <v>0</v>
      </c>
      <c r="Q172" s="112">
        <v>2270937.0897698863</v>
      </c>
      <c r="R172" s="107">
        <v>104</v>
      </c>
      <c r="S172" s="112">
        <v>11038.014886363637</v>
      </c>
      <c r="T172" s="107">
        <v>0</v>
      </c>
      <c r="U172" s="112">
        <v>0</v>
      </c>
      <c r="V172" s="107">
        <v>0</v>
      </c>
      <c r="W172" s="112">
        <v>0</v>
      </c>
      <c r="X172" s="107">
        <v>163414</v>
      </c>
      <c r="Y172" s="112">
        <v>0</v>
      </c>
      <c r="Z172" s="107">
        <v>174452.01488636364</v>
      </c>
      <c r="AA172" s="112">
        <v>2096485.0748835227</v>
      </c>
      <c r="AB172" s="107">
        <v>14.925116477301344</v>
      </c>
      <c r="AC172" s="112">
        <v>2096500</v>
      </c>
      <c r="AD172" s="28" t="s">
        <v>378</v>
      </c>
      <c r="AE172" s="68" t="s">
        <v>403</v>
      </c>
      <c r="AF172" s="16" t="s">
        <v>268</v>
      </c>
      <c r="AG172" s="4" t="b">
        <f t="shared" si="2"/>
        <v>1</v>
      </c>
    </row>
    <row r="173" spans="1:33" x14ac:dyDescent="0.2">
      <c r="A173" s="14">
        <v>165</v>
      </c>
      <c r="B173" s="28" t="s">
        <v>270</v>
      </c>
      <c r="C173" s="14" t="s">
        <v>793</v>
      </c>
      <c r="D173" s="14">
        <v>22</v>
      </c>
      <c r="E173" s="14">
        <v>0</v>
      </c>
      <c r="F173" s="14">
        <v>0</v>
      </c>
      <c r="G173" s="28" t="s">
        <v>651</v>
      </c>
      <c r="H173" s="107"/>
      <c r="I173" s="112"/>
      <c r="J173" s="107">
        <v>1673624.69</v>
      </c>
      <c r="K173" s="112">
        <v>0</v>
      </c>
      <c r="L173" s="107">
        <v>0</v>
      </c>
      <c r="M173" s="112">
        <v>532458.39484999992</v>
      </c>
      <c r="N173" s="107">
        <v>0</v>
      </c>
      <c r="O173" s="112">
        <v>0</v>
      </c>
      <c r="P173" s="107">
        <v>0</v>
      </c>
      <c r="Q173" s="112">
        <v>2206083.0848499998</v>
      </c>
      <c r="R173" s="107">
        <v>228</v>
      </c>
      <c r="S173" s="112">
        <v>21419.103534090907</v>
      </c>
      <c r="T173" s="107">
        <v>0</v>
      </c>
      <c r="U173" s="112">
        <v>0</v>
      </c>
      <c r="V173" s="107">
        <v>0</v>
      </c>
      <c r="W173" s="112">
        <v>0</v>
      </c>
      <c r="X173" s="107">
        <v>0</v>
      </c>
      <c r="Y173" s="112">
        <v>0</v>
      </c>
      <c r="Z173" s="107">
        <v>21419.103534090907</v>
      </c>
      <c r="AA173" s="112">
        <v>2184663.981315909</v>
      </c>
      <c r="AB173" s="107">
        <v>36.018684091046453</v>
      </c>
      <c r="AC173" s="112">
        <v>2184700</v>
      </c>
      <c r="AD173" s="28"/>
      <c r="AE173" s="68" t="s">
        <v>402</v>
      </c>
      <c r="AF173" s="16" t="s">
        <v>270</v>
      </c>
      <c r="AG173" s="4" t="b">
        <f t="shared" si="2"/>
        <v>1</v>
      </c>
    </row>
    <row r="174" spans="1:33" x14ac:dyDescent="0.2">
      <c r="A174" s="14">
        <v>166</v>
      </c>
      <c r="B174" s="28" t="s">
        <v>272</v>
      </c>
      <c r="C174" s="14" t="s">
        <v>794</v>
      </c>
      <c r="D174" s="14">
        <v>22</v>
      </c>
      <c r="E174" s="14">
        <v>0</v>
      </c>
      <c r="F174" s="14">
        <v>0</v>
      </c>
      <c r="G174" s="28" t="s">
        <v>616</v>
      </c>
      <c r="H174" s="107"/>
      <c r="I174" s="112"/>
      <c r="J174" s="107">
        <v>1493388</v>
      </c>
      <c r="K174" s="112">
        <v>0</v>
      </c>
      <c r="L174" s="107">
        <v>200000</v>
      </c>
      <c r="M174" s="112">
        <v>98852.103409090894</v>
      </c>
      <c r="N174" s="107">
        <v>0</v>
      </c>
      <c r="O174" s="112">
        <v>130731</v>
      </c>
      <c r="P174" s="107">
        <v>0</v>
      </c>
      <c r="Q174" s="112">
        <v>1922971.103409091</v>
      </c>
      <c r="R174" s="107">
        <v>1</v>
      </c>
      <c r="S174" s="112">
        <v>76.875568181818181</v>
      </c>
      <c r="T174" s="107">
        <v>0</v>
      </c>
      <c r="U174" s="112">
        <v>0</v>
      </c>
      <c r="V174" s="107">
        <v>0</v>
      </c>
      <c r="W174" s="112">
        <v>0</v>
      </c>
      <c r="X174" s="107">
        <v>163414</v>
      </c>
      <c r="Y174" s="112">
        <v>0</v>
      </c>
      <c r="Z174" s="107">
        <v>163490.87556818183</v>
      </c>
      <c r="AA174" s="112">
        <v>1759480.2278409093</v>
      </c>
      <c r="AB174" s="107">
        <v>19.772159090731293</v>
      </c>
      <c r="AC174" s="112">
        <v>1759500</v>
      </c>
      <c r="AD174" s="28"/>
      <c r="AE174" s="68" t="s">
        <v>452</v>
      </c>
      <c r="AF174" s="16" t="s">
        <v>272</v>
      </c>
      <c r="AG174" s="4" t="b">
        <f t="shared" si="2"/>
        <v>1</v>
      </c>
    </row>
    <row r="175" spans="1:33" x14ac:dyDescent="0.2">
      <c r="A175" s="14">
        <v>167</v>
      </c>
      <c r="B175" s="28" t="s">
        <v>274</v>
      </c>
      <c r="C175" s="14" t="s">
        <v>795</v>
      </c>
      <c r="D175" s="14">
        <v>22</v>
      </c>
      <c r="E175" s="14">
        <v>0</v>
      </c>
      <c r="F175" s="14">
        <v>0</v>
      </c>
      <c r="G175" s="28" t="s">
        <v>652</v>
      </c>
      <c r="H175" s="107"/>
      <c r="I175" s="112"/>
      <c r="J175" s="107">
        <v>2059845.78</v>
      </c>
      <c r="K175" s="112">
        <v>0</v>
      </c>
      <c r="L175" s="107">
        <v>0</v>
      </c>
      <c r="M175" s="112">
        <v>0</v>
      </c>
      <c r="N175" s="107">
        <v>0</v>
      </c>
      <c r="O175" s="112">
        <v>130731</v>
      </c>
      <c r="P175" s="107">
        <v>0</v>
      </c>
      <c r="Q175" s="112">
        <v>2190576.7800000003</v>
      </c>
      <c r="R175" s="107">
        <v>0</v>
      </c>
      <c r="S175" s="112">
        <v>0</v>
      </c>
      <c r="T175" s="107">
        <v>0</v>
      </c>
      <c r="U175" s="112">
        <v>0</v>
      </c>
      <c r="V175" s="107">
        <v>0</v>
      </c>
      <c r="W175" s="112">
        <v>681582</v>
      </c>
      <c r="X175" s="107">
        <v>163414</v>
      </c>
      <c r="Y175" s="112">
        <v>0</v>
      </c>
      <c r="Z175" s="107">
        <v>844996</v>
      </c>
      <c r="AA175" s="112">
        <v>1345580.7800000003</v>
      </c>
      <c r="AB175" s="107">
        <v>19.21999999973923</v>
      </c>
      <c r="AC175" s="112">
        <v>1345600</v>
      </c>
      <c r="AD175" s="28"/>
      <c r="AE175" s="68" t="s">
        <v>460</v>
      </c>
      <c r="AF175" s="16" t="s">
        <v>274</v>
      </c>
      <c r="AG175" s="4" t="b">
        <f t="shared" si="2"/>
        <v>1</v>
      </c>
    </row>
    <row r="176" spans="1:33" x14ac:dyDescent="0.2">
      <c r="A176" s="14">
        <v>168</v>
      </c>
      <c r="B176" s="28" t="s">
        <v>276</v>
      </c>
      <c r="C176" s="14" t="s">
        <v>796</v>
      </c>
      <c r="D176" s="14">
        <v>22</v>
      </c>
      <c r="E176" s="14">
        <v>0</v>
      </c>
      <c r="F176" s="14">
        <v>0</v>
      </c>
      <c r="G176" s="58" t="s">
        <v>614</v>
      </c>
      <c r="H176" s="107"/>
      <c r="I176" s="112"/>
      <c r="J176" s="107">
        <v>1673624.69</v>
      </c>
      <c r="K176" s="112">
        <v>0</v>
      </c>
      <c r="L176" s="107">
        <v>0</v>
      </c>
      <c r="M176" s="112">
        <v>183337.97740454547</v>
      </c>
      <c r="N176" s="107">
        <v>0</v>
      </c>
      <c r="O176" s="112">
        <v>0</v>
      </c>
      <c r="P176" s="107">
        <v>0</v>
      </c>
      <c r="Q176" s="112">
        <v>1856962.6674045455</v>
      </c>
      <c r="R176" s="107">
        <v>13</v>
      </c>
      <c r="S176" s="112">
        <v>1221.2646751893938</v>
      </c>
      <c r="T176" s="107">
        <v>0</v>
      </c>
      <c r="U176" s="112">
        <v>0</v>
      </c>
      <c r="V176" s="107">
        <v>0</v>
      </c>
      <c r="W176" s="112">
        <v>0</v>
      </c>
      <c r="X176" s="107">
        <v>0</v>
      </c>
      <c r="Y176" s="112">
        <v>0</v>
      </c>
      <c r="Z176" s="107">
        <v>1221.2646751893938</v>
      </c>
      <c r="AA176" s="112">
        <v>1855741.402729356</v>
      </c>
      <c r="AB176" s="107">
        <v>58.597270644037053</v>
      </c>
      <c r="AC176" s="112">
        <v>1855800</v>
      </c>
      <c r="AD176" s="28"/>
      <c r="AE176" s="68" t="s">
        <v>469</v>
      </c>
      <c r="AF176" s="16" t="s">
        <v>276</v>
      </c>
      <c r="AG176" s="4" t="b">
        <f t="shared" si="2"/>
        <v>1</v>
      </c>
    </row>
    <row r="177" spans="1:33" x14ac:dyDescent="0.2">
      <c r="A177" s="14">
        <v>169</v>
      </c>
      <c r="B177" s="28" t="s">
        <v>280</v>
      </c>
      <c r="C177" s="14" t="s">
        <v>797</v>
      </c>
      <c r="D177" s="14">
        <v>9</v>
      </c>
      <c r="E177" s="14">
        <v>0</v>
      </c>
      <c r="F177" s="14">
        <v>0</v>
      </c>
      <c r="G177" s="28" t="s">
        <v>620</v>
      </c>
      <c r="H177" s="138"/>
      <c r="I177" s="138"/>
      <c r="J177" s="138">
        <v>1227272.7272727271</v>
      </c>
      <c r="K177" s="138">
        <v>0</v>
      </c>
      <c r="L177" s="138">
        <v>0</v>
      </c>
      <c r="M177" s="138">
        <v>0</v>
      </c>
      <c r="N177" s="138">
        <v>0</v>
      </c>
      <c r="O177" s="138">
        <v>0</v>
      </c>
      <c r="P177" s="138">
        <v>0</v>
      </c>
      <c r="Q177" s="138">
        <v>1227272.7272727271</v>
      </c>
      <c r="R177" s="138">
        <v>451</v>
      </c>
      <c r="S177" s="138">
        <v>52414.772727272721</v>
      </c>
      <c r="T177" s="138">
        <v>0</v>
      </c>
      <c r="U177" s="138">
        <v>0</v>
      </c>
      <c r="V177" s="138">
        <v>0</v>
      </c>
      <c r="W177" s="138">
        <v>0</v>
      </c>
      <c r="X177" s="138">
        <v>0</v>
      </c>
      <c r="Y177" s="138">
        <v>0</v>
      </c>
      <c r="Z177" s="138">
        <v>52414.772727272721</v>
      </c>
      <c r="AA177" s="138">
        <v>1174857.9545454544</v>
      </c>
      <c r="AB177" s="138">
        <v>42.045454545645043</v>
      </c>
      <c r="AC177" s="138">
        <v>1174900</v>
      </c>
      <c r="AD177" s="28"/>
      <c r="AE177" s="68" t="s">
        <v>417</v>
      </c>
      <c r="AF177" s="16" t="s">
        <v>280</v>
      </c>
      <c r="AG177" s="4" t="b">
        <f t="shared" si="2"/>
        <v>1</v>
      </c>
    </row>
    <row r="178" spans="1:33" x14ac:dyDescent="0.2">
      <c r="A178" s="14">
        <v>170</v>
      </c>
      <c r="B178" s="28" t="s">
        <v>283</v>
      </c>
      <c r="C178" s="14" t="s">
        <v>798</v>
      </c>
      <c r="D178" s="14">
        <v>22</v>
      </c>
      <c r="E178" s="14">
        <v>0</v>
      </c>
      <c r="F178" s="14">
        <v>0</v>
      </c>
      <c r="G178" s="28" t="s">
        <v>626</v>
      </c>
      <c r="H178" s="138"/>
      <c r="I178" s="138"/>
      <c r="J178" s="138">
        <v>2059845.78</v>
      </c>
      <c r="K178" s="138">
        <v>0</v>
      </c>
      <c r="L178" s="138">
        <v>0</v>
      </c>
      <c r="M178" s="138">
        <v>0</v>
      </c>
      <c r="N178" s="138">
        <v>0</v>
      </c>
      <c r="O178" s="138">
        <v>0</v>
      </c>
      <c r="P178" s="138">
        <v>0</v>
      </c>
      <c r="Q178" s="138">
        <v>2059845.78</v>
      </c>
      <c r="R178" s="138">
        <v>67</v>
      </c>
      <c r="S178" s="138">
        <v>8744.6660284090904</v>
      </c>
      <c r="T178" s="138">
        <v>0</v>
      </c>
      <c r="U178" s="138">
        <v>0</v>
      </c>
      <c r="V178" s="138">
        <v>0</v>
      </c>
      <c r="W178" s="138">
        <v>0</v>
      </c>
      <c r="X178" s="138">
        <v>0</v>
      </c>
      <c r="Y178" s="138">
        <v>0</v>
      </c>
      <c r="Z178" s="138">
        <v>8744.6660284090904</v>
      </c>
      <c r="AA178" s="138">
        <v>2051101.113971591</v>
      </c>
      <c r="AB178" s="138">
        <v>98.886028409004211</v>
      </c>
      <c r="AC178" s="138">
        <v>2051200</v>
      </c>
      <c r="AD178" s="28"/>
      <c r="AE178" s="68" t="s">
        <v>446</v>
      </c>
      <c r="AF178" s="16" t="s">
        <v>283</v>
      </c>
      <c r="AG178" s="4" t="b">
        <f t="shared" si="2"/>
        <v>1</v>
      </c>
    </row>
    <row r="179" spans="1:33" x14ac:dyDescent="0.2">
      <c r="A179" s="14">
        <v>171</v>
      </c>
      <c r="B179" s="28" t="s">
        <v>285</v>
      </c>
      <c r="C179" s="14" t="s">
        <v>799</v>
      </c>
      <c r="D179" s="14">
        <v>22</v>
      </c>
      <c r="E179" s="14">
        <v>0</v>
      </c>
      <c r="F179" s="14">
        <v>0</v>
      </c>
      <c r="G179" s="28" t="s">
        <v>628</v>
      </c>
      <c r="H179" s="138"/>
      <c r="I179" s="138"/>
      <c r="J179" s="138">
        <v>2188586.14</v>
      </c>
      <c r="K179" s="138">
        <v>0</v>
      </c>
      <c r="L179" s="138">
        <v>0</v>
      </c>
      <c r="M179" s="138">
        <v>99481</v>
      </c>
      <c r="N179" s="138">
        <v>0</v>
      </c>
      <c r="O179" s="138">
        <v>0</v>
      </c>
      <c r="P179" s="138">
        <v>0</v>
      </c>
      <c r="Q179" s="138">
        <v>2288067.14</v>
      </c>
      <c r="R179" s="138">
        <v>289</v>
      </c>
      <c r="S179" s="138">
        <v>41242.821634469699</v>
      </c>
      <c r="T179" s="138">
        <v>0</v>
      </c>
      <c r="U179" s="138">
        <v>0</v>
      </c>
      <c r="V179" s="138">
        <v>0</v>
      </c>
      <c r="W179" s="138">
        <v>0</v>
      </c>
      <c r="X179" s="138">
        <v>0</v>
      </c>
      <c r="Y179" s="138">
        <v>0</v>
      </c>
      <c r="Z179" s="138">
        <v>41242.821634469699</v>
      </c>
      <c r="AA179" s="138">
        <v>2246824.3183655306</v>
      </c>
      <c r="AB179" s="138">
        <v>75.681634469423443</v>
      </c>
      <c r="AC179" s="138">
        <v>2246900</v>
      </c>
      <c r="AD179" s="28"/>
      <c r="AE179" s="68" t="s">
        <v>548</v>
      </c>
      <c r="AF179" s="16" t="s">
        <v>285</v>
      </c>
      <c r="AG179" s="4" t="b">
        <f t="shared" si="2"/>
        <v>1</v>
      </c>
    </row>
    <row r="180" spans="1:33" x14ac:dyDescent="0.2">
      <c r="A180" s="14">
        <v>172</v>
      </c>
      <c r="B180" s="28" t="s">
        <v>288</v>
      </c>
      <c r="C180" s="14" t="s">
        <v>800</v>
      </c>
      <c r="D180" s="14">
        <v>22</v>
      </c>
      <c r="E180" s="14">
        <v>0</v>
      </c>
      <c r="F180" s="14">
        <v>0</v>
      </c>
      <c r="G180" s="28" t="s">
        <v>639</v>
      </c>
      <c r="H180" s="138"/>
      <c r="I180" s="138"/>
      <c r="J180" s="138">
        <v>2188586.14</v>
      </c>
      <c r="K180" s="138">
        <v>0</v>
      </c>
      <c r="L180" s="138">
        <v>0</v>
      </c>
      <c r="M180" s="138">
        <v>0</v>
      </c>
      <c r="N180" s="138">
        <v>0</v>
      </c>
      <c r="O180" s="138">
        <v>0</v>
      </c>
      <c r="P180" s="138">
        <v>0</v>
      </c>
      <c r="Q180" s="138">
        <v>2188586.14</v>
      </c>
      <c r="R180" s="138">
        <v>5</v>
      </c>
      <c r="S180" s="138">
        <v>713.54362689393952</v>
      </c>
      <c r="T180" s="138">
        <v>0</v>
      </c>
      <c r="U180" s="138">
        <v>0</v>
      </c>
      <c r="V180" s="138">
        <v>0</v>
      </c>
      <c r="W180" s="138">
        <v>0</v>
      </c>
      <c r="X180" s="138">
        <v>0</v>
      </c>
      <c r="Y180" s="138">
        <v>0</v>
      </c>
      <c r="Z180" s="138">
        <v>713.54362689393952</v>
      </c>
      <c r="AA180" s="138">
        <v>2187872.5963731064</v>
      </c>
      <c r="AB180" s="138">
        <v>27.403626893647015</v>
      </c>
      <c r="AC180" s="138">
        <v>2187900</v>
      </c>
      <c r="AD180" s="28"/>
      <c r="AE180" s="68" t="s">
        <v>408</v>
      </c>
      <c r="AF180" s="16" t="s">
        <v>288</v>
      </c>
      <c r="AG180" s="4" t="b">
        <f t="shared" si="2"/>
        <v>1</v>
      </c>
    </row>
    <row r="181" spans="1:33" x14ac:dyDescent="0.2">
      <c r="A181" s="14">
        <v>173</v>
      </c>
      <c r="B181" s="28" t="s">
        <v>336</v>
      </c>
      <c r="C181" s="14" t="s">
        <v>801</v>
      </c>
      <c r="D181" s="14">
        <v>18</v>
      </c>
      <c r="E181" s="14">
        <v>0</v>
      </c>
      <c r="F181" s="14">
        <v>0</v>
      </c>
      <c r="G181" s="28" t="s">
        <v>620</v>
      </c>
      <c r="H181" s="138"/>
      <c r="I181" s="138"/>
      <c r="J181" s="138">
        <v>2454545.4545454541</v>
      </c>
      <c r="K181" s="138">
        <v>0</v>
      </c>
      <c r="L181" s="138">
        <v>0</v>
      </c>
      <c r="M181" s="138">
        <v>0</v>
      </c>
      <c r="N181" s="138">
        <v>0</v>
      </c>
      <c r="O181" s="138">
        <v>0</v>
      </c>
      <c r="P181" s="138">
        <v>0</v>
      </c>
      <c r="Q181" s="138">
        <v>2454545.4545454541</v>
      </c>
      <c r="R181" s="138">
        <v>295</v>
      </c>
      <c r="S181" s="138">
        <v>68569.214876033046</v>
      </c>
      <c r="T181" s="138">
        <v>0</v>
      </c>
      <c r="U181" s="138">
        <v>0</v>
      </c>
      <c r="V181" s="138">
        <v>0</v>
      </c>
      <c r="W181" s="138">
        <v>0</v>
      </c>
      <c r="X181" s="138">
        <v>0</v>
      </c>
      <c r="Y181" s="138">
        <v>0</v>
      </c>
      <c r="Z181" s="138">
        <v>68569.214876033046</v>
      </c>
      <c r="AA181" s="138">
        <v>2385976.2396694212</v>
      </c>
      <c r="AB181" s="138">
        <v>23.760330578777939</v>
      </c>
      <c r="AC181" s="138">
        <v>2386000</v>
      </c>
      <c r="AD181" s="28"/>
      <c r="AE181" s="68" t="s">
        <v>421</v>
      </c>
      <c r="AF181" s="16" t="s">
        <v>336</v>
      </c>
      <c r="AG181" s="4" t="b">
        <f t="shared" si="2"/>
        <v>1</v>
      </c>
    </row>
    <row r="182" spans="1:33" x14ac:dyDescent="0.2">
      <c r="A182" s="14">
        <v>174</v>
      </c>
      <c r="B182" s="28" t="s">
        <v>334</v>
      </c>
      <c r="C182" s="14" t="s">
        <v>895</v>
      </c>
      <c r="D182" s="14">
        <v>20</v>
      </c>
      <c r="E182" s="14">
        <v>0</v>
      </c>
      <c r="F182" s="14">
        <v>1</v>
      </c>
      <c r="G182" s="59" t="s">
        <v>880</v>
      </c>
      <c r="H182" s="138"/>
      <c r="I182" s="138"/>
      <c r="J182" s="138">
        <v>1673624.69</v>
      </c>
      <c r="K182" s="138">
        <v>0</v>
      </c>
      <c r="L182" s="138">
        <v>0</v>
      </c>
      <c r="M182" s="138">
        <v>192276.65472613636</v>
      </c>
      <c r="N182" s="138">
        <v>0</v>
      </c>
      <c r="O182" s="138">
        <v>0</v>
      </c>
      <c r="P182" s="138">
        <v>0</v>
      </c>
      <c r="Q182" s="138">
        <v>1865901.3447261364</v>
      </c>
      <c r="R182" s="138">
        <v>8</v>
      </c>
      <c r="S182" s="138">
        <v>751.54749242424236</v>
      </c>
      <c r="T182" s="138">
        <v>0</v>
      </c>
      <c r="U182" s="138">
        <v>0</v>
      </c>
      <c r="V182" s="138">
        <v>0</v>
      </c>
      <c r="W182" s="138">
        <v>30981</v>
      </c>
      <c r="X182" s="138">
        <v>0</v>
      </c>
      <c r="Y182" s="138">
        <v>0</v>
      </c>
      <c r="Z182" s="138">
        <v>31732.547492424241</v>
      </c>
      <c r="AA182" s="138">
        <v>1834168.7972337122</v>
      </c>
      <c r="AB182" s="138">
        <v>31.20276628783904</v>
      </c>
      <c r="AC182" s="138">
        <v>1834200</v>
      </c>
      <c r="AD182" s="28"/>
      <c r="AE182" s="68" t="s">
        <v>429</v>
      </c>
      <c r="AF182" s="16" t="s">
        <v>334</v>
      </c>
      <c r="AG182" s="4" t="b">
        <f t="shared" si="2"/>
        <v>1</v>
      </c>
    </row>
    <row r="183" spans="1:33" x14ac:dyDescent="0.2">
      <c r="A183" s="14">
        <v>175</v>
      </c>
      <c r="B183" s="28" t="s">
        <v>842</v>
      </c>
      <c r="C183" s="14" t="s">
        <v>896</v>
      </c>
      <c r="D183" s="14">
        <v>20</v>
      </c>
      <c r="E183" s="14">
        <v>0</v>
      </c>
      <c r="F183" s="14">
        <v>0</v>
      </c>
      <c r="G183" s="58" t="s">
        <v>843</v>
      </c>
      <c r="H183" s="138"/>
      <c r="I183" s="138"/>
      <c r="J183" s="138">
        <v>2188586.14</v>
      </c>
      <c r="K183" s="138">
        <v>0</v>
      </c>
      <c r="L183" s="138">
        <v>0</v>
      </c>
      <c r="M183" s="138">
        <v>483105.52010795457</v>
      </c>
      <c r="N183" s="138">
        <v>0</v>
      </c>
      <c r="O183" s="138">
        <v>0</v>
      </c>
      <c r="P183" s="138">
        <v>0</v>
      </c>
      <c r="Q183" s="138">
        <v>2671691.6601079549</v>
      </c>
      <c r="R183" s="138">
        <v>0</v>
      </c>
      <c r="S183" s="138">
        <v>0</v>
      </c>
      <c r="T183" s="138">
        <v>0</v>
      </c>
      <c r="U183" s="138">
        <v>0</v>
      </c>
      <c r="V183" s="138">
        <v>0</v>
      </c>
      <c r="W183" s="138">
        <v>0</v>
      </c>
      <c r="X183" s="138">
        <v>0</v>
      </c>
      <c r="Y183" s="138">
        <v>0</v>
      </c>
      <c r="Z183" s="138">
        <v>0</v>
      </c>
      <c r="AA183" s="138">
        <v>2671691.6601079549</v>
      </c>
      <c r="AB183" s="138">
        <v>8.3398920451290905</v>
      </c>
      <c r="AC183" s="138">
        <v>2671700</v>
      </c>
      <c r="AD183" s="28"/>
      <c r="AE183" s="68" t="s">
        <v>844</v>
      </c>
      <c r="AF183" s="16" t="s">
        <v>842</v>
      </c>
      <c r="AG183" s="4" t="b">
        <f t="shared" si="2"/>
        <v>1</v>
      </c>
    </row>
    <row r="184" spans="1:33" x14ac:dyDescent="0.2">
      <c r="A184" s="14">
        <v>176</v>
      </c>
      <c r="B184" s="28" t="s">
        <v>327</v>
      </c>
      <c r="C184" s="14" t="s">
        <v>683</v>
      </c>
      <c r="D184" s="14">
        <v>20</v>
      </c>
      <c r="E184" s="14">
        <v>0</v>
      </c>
      <c r="F184" s="14">
        <v>0</v>
      </c>
      <c r="G184" s="58" t="s">
        <v>625</v>
      </c>
      <c r="H184" s="138"/>
      <c r="I184" s="138"/>
      <c r="J184" s="138">
        <v>1673624.69</v>
      </c>
      <c r="K184" s="138">
        <v>0</v>
      </c>
      <c r="L184" s="138">
        <v>0</v>
      </c>
      <c r="M184" s="138">
        <v>101843.86607897724</v>
      </c>
      <c r="N184" s="138">
        <v>0</v>
      </c>
      <c r="O184" s="138">
        <v>0</v>
      </c>
      <c r="P184" s="138">
        <v>0</v>
      </c>
      <c r="Q184" s="138">
        <v>1775468.5560789772</v>
      </c>
      <c r="R184" s="138">
        <v>0</v>
      </c>
      <c r="S184" s="138">
        <v>0</v>
      </c>
      <c r="T184" s="138">
        <v>0</v>
      </c>
      <c r="U184" s="138">
        <v>0</v>
      </c>
      <c r="V184" s="138">
        <v>0</v>
      </c>
      <c r="W184" s="138">
        <v>0</v>
      </c>
      <c r="X184" s="138">
        <v>0</v>
      </c>
      <c r="Y184" s="138">
        <v>0</v>
      </c>
      <c r="Z184" s="138">
        <v>0</v>
      </c>
      <c r="AA184" s="138">
        <v>1775468.5560789772</v>
      </c>
      <c r="AB184" s="138">
        <v>31.44392102281563</v>
      </c>
      <c r="AC184" s="138">
        <v>1775500</v>
      </c>
      <c r="AD184" s="28"/>
      <c r="AE184" s="68" t="s">
        <v>490</v>
      </c>
      <c r="AF184" s="16" t="s">
        <v>327</v>
      </c>
      <c r="AG184" s="4" t="b">
        <f t="shared" si="2"/>
        <v>1</v>
      </c>
    </row>
    <row r="185" spans="1:33" x14ac:dyDescent="0.2">
      <c r="A185" s="19"/>
      <c r="G185" s="79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</row>
    <row r="186" spans="1:33" x14ac:dyDescent="0.2">
      <c r="A186" s="19"/>
      <c r="G186" s="79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</row>
    <row r="187" spans="1:33" x14ac:dyDescent="0.2">
      <c r="A187" s="19"/>
      <c r="G187" s="79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</row>
    <row r="188" spans="1:33" x14ac:dyDescent="0.2">
      <c r="A188" s="19"/>
      <c r="G188" s="79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E188" s="16"/>
    </row>
    <row r="189" spans="1:33" x14ac:dyDescent="0.2">
      <c r="A189" s="19"/>
      <c r="G189" s="79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E189" s="16"/>
    </row>
    <row r="190" spans="1:33" x14ac:dyDescent="0.2">
      <c r="A190" s="19"/>
      <c r="G190" s="79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</row>
    <row r="191" spans="1:33" x14ac:dyDescent="0.2">
      <c r="A191" s="19"/>
      <c r="G191" s="79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</row>
    <row r="192" spans="1:33" x14ac:dyDescent="0.2">
      <c r="A192" s="19"/>
      <c r="G192" s="79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</row>
    <row r="193" spans="1:29" x14ac:dyDescent="0.2">
      <c r="A193" s="19"/>
      <c r="G193" s="79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</row>
    <row r="194" spans="1:29" x14ac:dyDescent="0.2">
      <c r="A194" s="19"/>
      <c r="G194" s="79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</row>
    <row r="195" spans="1:29" x14ac:dyDescent="0.2">
      <c r="A195" s="19"/>
      <c r="G195" s="79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</row>
    <row r="196" spans="1:29" x14ac:dyDescent="0.2">
      <c r="A196" s="19"/>
      <c r="G196" s="79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</row>
    <row r="197" spans="1:29" x14ac:dyDescent="0.2">
      <c r="A197" s="19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</row>
    <row r="198" spans="1:29" x14ac:dyDescent="0.2">
      <c r="A198" s="19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</row>
    <row r="199" spans="1:29" x14ac:dyDescent="0.2">
      <c r="A199" s="19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</row>
    <row r="200" spans="1:29" x14ac:dyDescent="0.2">
      <c r="A200" s="19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</row>
    <row r="201" spans="1:29" x14ac:dyDescent="0.2">
      <c r="A201" s="19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</row>
    <row r="202" spans="1:29" x14ac:dyDescent="0.2">
      <c r="A202" s="19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</row>
    <row r="203" spans="1:29" x14ac:dyDescent="0.2">
      <c r="A203" s="19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</row>
    <row r="204" spans="1:29" x14ac:dyDescent="0.2">
      <c r="A204" s="19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</row>
    <row r="205" spans="1:29" x14ac:dyDescent="0.2">
      <c r="A205" s="19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</row>
    <row r="206" spans="1:29" x14ac:dyDescent="0.2">
      <c r="A206" s="19"/>
      <c r="H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</row>
    <row r="207" spans="1:29" x14ac:dyDescent="0.2">
      <c r="A207" s="19"/>
      <c r="H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</row>
    <row r="208" spans="1:29" x14ac:dyDescent="0.2">
      <c r="A208" s="19"/>
      <c r="H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</row>
    <row r="209" spans="1:29" x14ac:dyDescent="0.2">
      <c r="A209" s="19"/>
      <c r="H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</row>
    <row r="210" spans="1:29" x14ac:dyDescent="0.2">
      <c r="A210" s="19"/>
      <c r="H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</row>
    <row r="211" spans="1:29" x14ac:dyDescent="0.2">
      <c r="A211" s="19"/>
      <c r="H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</row>
    <row r="212" spans="1:29" x14ac:dyDescent="0.2">
      <c r="A212" s="19"/>
      <c r="H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</row>
    <row r="213" spans="1:29" x14ac:dyDescent="0.2">
      <c r="A213" s="121"/>
      <c r="H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</row>
  </sheetData>
  <sortState xmlns:xlrd2="http://schemas.microsoft.com/office/spreadsheetml/2017/richdata2" ref="B9:X172">
    <sortCondition ref="C9:C172"/>
  </sortState>
  <mergeCells count="18">
    <mergeCell ref="AE6:AE7"/>
    <mergeCell ref="AD6:AD7"/>
    <mergeCell ref="A6:A7"/>
    <mergeCell ref="R6:Z6"/>
    <mergeCell ref="AA6:AA7"/>
    <mergeCell ref="H6:Q6"/>
    <mergeCell ref="G6:G7"/>
    <mergeCell ref="D6:D7"/>
    <mergeCell ref="C6:C7"/>
    <mergeCell ref="B6:B7"/>
    <mergeCell ref="AB6:AB7"/>
    <mergeCell ref="AC6:AC7"/>
    <mergeCell ref="E6:E7"/>
    <mergeCell ref="A1:B1"/>
    <mergeCell ref="A2:B2"/>
    <mergeCell ref="A3:B3"/>
    <mergeCell ref="A4:B4"/>
    <mergeCell ref="F6:F7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XC216"/>
  <sheetViews>
    <sheetView topLeftCell="A6" zoomScale="85" zoomScaleNormal="85" workbookViewId="0">
      <pane xSplit="2" ySplit="3" topLeftCell="C111" activePane="bottomRight" state="frozen"/>
      <selection activeCell="A6" sqref="A6"/>
      <selection pane="topRight" activeCell="C6" sqref="C6"/>
      <selection pane="bottomLeft" activeCell="A9" sqref="A9"/>
      <selection pane="bottomRight" activeCell="B191" sqref="B191"/>
    </sheetView>
  </sheetViews>
  <sheetFormatPr baseColWidth="10" defaultColWidth="9.1640625" defaultRowHeight="15" x14ac:dyDescent="0.2"/>
  <cols>
    <col min="1" max="1" width="4.6640625" style="16" customWidth="1"/>
    <col min="2" max="2" width="29.5" style="16" bestFit="1" customWidth="1"/>
    <col min="3" max="3" width="7.1640625" style="19" customWidth="1"/>
    <col min="4" max="4" width="7.1640625" style="16" hidden="1" customWidth="1"/>
    <col min="5" max="5" width="30" style="16" hidden="1" customWidth="1"/>
    <col min="6" max="12" width="7.6640625" style="19" customWidth="1"/>
    <col min="13" max="13" width="7" style="19" customWidth="1"/>
    <col min="14" max="104" width="7.6640625" style="19" customWidth="1"/>
    <col min="105" max="105" width="7.33203125" style="19" customWidth="1"/>
    <col min="106" max="108" width="10.6640625" style="19" customWidth="1"/>
    <col min="109" max="109" width="33.1640625" style="79" bestFit="1" customWidth="1"/>
    <col min="110" max="16384" width="9.1640625" style="16"/>
  </cols>
  <sheetData>
    <row r="1" spans="1:109" ht="15" hidden="1" customHeight="1" x14ac:dyDescent="0.2">
      <c r="A1" s="15" t="s">
        <v>15</v>
      </c>
      <c r="C1" s="19" t="s">
        <v>2</v>
      </c>
      <c r="D1" s="17" t="s">
        <v>291</v>
      </c>
    </row>
    <row r="2" spans="1:109" ht="15" hidden="1" customHeight="1" x14ac:dyDescent="0.2">
      <c r="A2" s="15" t="s">
        <v>14</v>
      </c>
      <c r="C2" s="19" t="s">
        <v>2</v>
      </c>
      <c r="D2" s="17"/>
    </row>
    <row r="3" spans="1:109" ht="15" hidden="1" customHeight="1" x14ac:dyDescent="0.2">
      <c r="A3" s="15" t="s">
        <v>16</v>
      </c>
      <c r="C3" s="19" t="s">
        <v>2</v>
      </c>
      <c r="D3" s="18">
        <f>COUNT(A9:A993)</f>
        <v>179</v>
      </c>
    </row>
    <row r="4" spans="1:109" ht="15" hidden="1" customHeight="1" x14ac:dyDescent="0.2">
      <c r="A4" s="15"/>
      <c r="D4" s="18"/>
    </row>
    <row r="5" spans="1:109" ht="15" hidden="1" customHeight="1" x14ac:dyDescent="0.2"/>
    <row r="6" spans="1:109" s="19" customFormat="1" x14ac:dyDescent="0.2">
      <c r="A6" s="152" t="s">
        <v>5</v>
      </c>
      <c r="B6" s="152" t="s">
        <v>6</v>
      </c>
      <c r="C6" s="152" t="s">
        <v>0</v>
      </c>
      <c r="D6" s="159"/>
      <c r="E6" s="152" t="s">
        <v>32</v>
      </c>
      <c r="F6" s="160">
        <v>1</v>
      </c>
      <c r="G6" s="161"/>
      <c r="H6" s="161"/>
      <c r="I6" s="162"/>
      <c r="J6" s="163">
        <v>2</v>
      </c>
      <c r="K6" s="164"/>
      <c r="L6" s="164"/>
      <c r="M6" s="165"/>
      <c r="N6" s="160">
        <v>3</v>
      </c>
      <c r="O6" s="161"/>
      <c r="P6" s="161"/>
      <c r="Q6" s="162"/>
      <c r="R6" s="163">
        <v>4</v>
      </c>
      <c r="S6" s="164"/>
      <c r="T6" s="164"/>
      <c r="U6" s="165"/>
      <c r="V6" s="166">
        <v>5</v>
      </c>
      <c r="W6" s="166"/>
      <c r="X6" s="166"/>
      <c r="Y6" s="166"/>
      <c r="Z6" s="163">
        <v>6</v>
      </c>
      <c r="AA6" s="164"/>
      <c r="AB6" s="164"/>
      <c r="AC6" s="165"/>
      <c r="AD6" s="160">
        <v>7</v>
      </c>
      <c r="AE6" s="161"/>
      <c r="AF6" s="161"/>
      <c r="AG6" s="162"/>
      <c r="AH6" s="163">
        <v>8</v>
      </c>
      <c r="AI6" s="164"/>
      <c r="AJ6" s="164"/>
      <c r="AK6" s="165"/>
      <c r="AL6" s="160">
        <v>9</v>
      </c>
      <c r="AM6" s="161"/>
      <c r="AN6" s="161"/>
      <c r="AO6" s="162"/>
      <c r="AP6" s="163">
        <v>10</v>
      </c>
      <c r="AQ6" s="164"/>
      <c r="AR6" s="164"/>
      <c r="AS6" s="165"/>
      <c r="AT6" s="160">
        <v>11</v>
      </c>
      <c r="AU6" s="161"/>
      <c r="AV6" s="161"/>
      <c r="AW6" s="162"/>
      <c r="AX6" s="163">
        <v>12</v>
      </c>
      <c r="AY6" s="164"/>
      <c r="AZ6" s="164"/>
      <c r="BA6" s="165"/>
      <c r="BB6" s="160">
        <v>13</v>
      </c>
      <c r="BC6" s="161"/>
      <c r="BD6" s="161"/>
      <c r="BE6" s="162"/>
      <c r="BF6" s="163">
        <v>14</v>
      </c>
      <c r="BG6" s="164"/>
      <c r="BH6" s="164"/>
      <c r="BI6" s="165"/>
      <c r="BJ6" s="160">
        <v>15</v>
      </c>
      <c r="BK6" s="161"/>
      <c r="BL6" s="161"/>
      <c r="BM6" s="162"/>
      <c r="BN6" s="163">
        <v>16</v>
      </c>
      <c r="BO6" s="164"/>
      <c r="BP6" s="164"/>
      <c r="BQ6" s="165"/>
      <c r="BR6" s="160">
        <v>17</v>
      </c>
      <c r="BS6" s="161"/>
      <c r="BT6" s="161"/>
      <c r="BU6" s="162"/>
      <c r="BV6" s="163">
        <v>18</v>
      </c>
      <c r="BW6" s="164"/>
      <c r="BX6" s="164"/>
      <c r="BY6" s="165"/>
      <c r="BZ6" s="160">
        <v>19</v>
      </c>
      <c r="CA6" s="161"/>
      <c r="CB6" s="161"/>
      <c r="CC6" s="162"/>
      <c r="CD6" s="163">
        <v>20</v>
      </c>
      <c r="CE6" s="164"/>
      <c r="CF6" s="164"/>
      <c r="CG6" s="165"/>
      <c r="CH6" s="160">
        <v>21</v>
      </c>
      <c r="CI6" s="161"/>
      <c r="CJ6" s="161"/>
      <c r="CK6" s="162"/>
      <c r="CL6" s="163">
        <v>22</v>
      </c>
      <c r="CM6" s="164"/>
      <c r="CN6" s="164"/>
      <c r="CO6" s="165"/>
      <c r="CP6" s="160">
        <v>23</v>
      </c>
      <c r="CQ6" s="161"/>
      <c r="CR6" s="161"/>
      <c r="CS6" s="162"/>
      <c r="CT6" s="163">
        <v>24</v>
      </c>
      <c r="CU6" s="164"/>
      <c r="CV6" s="164"/>
      <c r="CW6" s="165"/>
      <c r="CX6" s="160">
        <v>25</v>
      </c>
      <c r="CY6" s="161"/>
      <c r="CZ6" s="161"/>
      <c r="DA6" s="162"/>
      <c r="DB6" s="155" t="s">
        <v>338</v>
      </c>
      <c r="DC6" s="157" t="s">
        <v>339</v>
      </c>
      <c r="DD6" s="155"/>
      <c r="DE6" s="155" t="s">
        <v>17</v>
      </c>
    </row>
    <row r="7" spans="1:109" s="19" customFormat="1" ht="34.5" customHeight="1" x14ac:dyDescent="0.2">
      <c r="A7" s="152"/>
      <c r="B7" s="152"/>
      <c r="C7" s="152"/>
      <c r="D7" s="159"/>
      <c r="E7" s="152"/>
      <c r="F7" s="77" t="s">
        <v>294</v>
      </c>
      <c r="G7" s="77" t="s">
        <v>295</v>
      </c>
      <c r="H7" s="77" t="s">
        <v>296</v>
      </c>
      <c r="I7" s="77" t="s">
        <v>298</v>
      </c>
      <c r="J7" s="88" t="s">
        <v>294</v>
      </c>
      <c r="K7" s="88" t="s">
        <v>295</v>
      </c>
      <c r="L7" s="88" t="s">
        <v>296</v>
      </c>
      <c r="M7" s="88" t="s">
        <v>298</v>
      </c>
      <c r="N7" s="77" t="s">
        <v>294</v>
      </c>
      <c r="O7" s="77" t="s">
        <v>295</v>
      </c>
      <c r="P7" s="77" t="s">
        <v>296</v>
      </c>
      <c r="Q7" s="77" t="s">
        <v>298</v>
      </c>
      <c r="R7" s="88" t="s">
        <v>294</v>
      </c>
      <c r="S7" s="88" t="s">
        <v>295</v>
      </c>
      <c r="T7" s="88" t="s">
        <v>296</v>
      </c>
      <c r="U7" s="99" t="s">
        <v>298</v>
      </c>
      <c r="V7" s="78" t="s">
        <v>294</v>
      </c>
      <c r="W7" s="78" t="s">
        <v>295</v>
      </c>
      <c r="X7" s="78" t="s">
        <v>296</v>
      </c>
      <c r="Y7" s="78" t="s">
        <v>298</v>
      </c>
      <c r="Z7" s="99" t="s">
        <v>294</v>
      </c>
      <c r="AA7" s="99" t="s">
        <v>295</v>
      </c>
      <c r="AB7" s="99" t="s">
        <v>296</v>
      </c>
      <c r="AC7" s="99" t="s">
        <v>298</v>
      </c>
      <c r="AD7" s="78" t="s">
        <v>294</v>
      </c>
      <c r="AE7" s="78" t="s">
        <v>295</v>
      </c>
      <c r="AF7" s="78" t="s">
        <v>296</v>
      </c>
      <c r="AG7" s="78" t="s">
        <v>298</v>
      </c>
      <c r="AH7" s="99" t="s">
        <v>294</v>
      </c>
      <c r="AI7" s="99" t="s">
        <v>295</v>
      </c>
      <c r="AJ7" s="99" t="s">
        <v>296</v>
      </c>
      <c r="AK7" s="99" t="s">
        <v>298</v>
      </c>
      <c r="AL7" s="78" t="s">
        <v>294</v>
      </c>
      <c r="AM7" s="78" t="s">
        <v>295</v>
      </c>
      <c r="AN7" s="78" t="s">
        <v>296</v>
      </c>
      <c r="AO7" s="78" t="s">
        <v>298</v>
      </c>
      <c r="AP7" s="99" t="s">
        <v>294</v>
      </c>
      <c r="AQ7" s="99" t="s">
        <v>295</v>
      </c>
      <c r="AR7" s="99" t="s">
        <v>296</v>
      </c>
      <c r="AS7" s="99" t="s">
        <v>298</v>
      </c>
      <c r="AT7" s="78" t="s">
        <v>294</v>
      </c>
      <c r="AU7" s="78" t="s">
        <v>295</v>
      </c>
      <c r="AV7" s="78" t="s">
        <v>296</v>
      </c>
      <c r="AW7" s="78" t="s">
        <v>298</v>
      </c>
      <c r="AX7" s="99" t="s">
        <v>294</v>
      </c>
      <c r="AY7" s="99" t="s">
        <v>295</v>
      </c>
      <c r="AZ7" s="99" t="s">
        <v>296</v>
      </c>
      <c r="BA7" s="99" t="s">
        <v>298</v>
      </c>
      <c r="BB7" s="78" t="s">
        <v>294</v>
      </c>
      <c r="BC7" s="78" t="s">
        <v>295</v>
      </c>
      <c r="BD7" s="78" t="s">
        <v>296</v>
      </c>
      <c r="BE7" s="78" t="s">
        <v>298</v>
      </c>
      <c r="BF7" s="99" t="s">
        <v>294</v>
      </c>
      <c r="BG7" s="99" t="s">
        <v>295</v>
      </c>
      <c r="BH7" s="99" t="s">
        <v>296</v>
      </c>
      <c r="BI7" s="99" t="s">
        <v>298</v>
      </c>
      <c r="BJ7" s="78" t="s">
        <v>294</v>
      </c>
      <c r="BK7" s="78" t="s">
        <v>295</v>
      </c>
      <c r="BL7" s="78" t="s">
        <v>296</v>
      </c>
      <c r="BM7" s="78" t="s">
        <v>298</v>
      </c>
      <c r="BN7" s="99" t="s">
        <v>294</v>
      </c>
      <c r="BO7" s="99" t="s">
        <v>295</v>
      </c>
      <c r="BP7" s="99" t="s">
        <v>296</v>
      </c>
      <c r="BQ7" s="99" t="s">
        <v>298</v>
      </c>
      <c r="BR7" s="78" t="s">
        <v>294</v>
      </c>
      <c r="BS7" s="78" t="s">
        <v>295</v>
      </c>
      <c r="BT7" s="78" t="s">
        <v>296</v>
      </c>
      <c r="BU7" s="78" t="s">
        <v>298</v>
      </c>
      <c r="BV7" s="99" t="s">
        <v>294</v>
      </c>
      <c r="BW7" s="99" t="s">
        <v>295</v>
      </c>
      <c r="BX7" s="99" t="s">
        <v>296</v>
      </c>
      <c r="BY7" s="99" t="s">
        <v>298</v>
      </c>
      <c r="BZ7" s="78" t="s">
        <v>294</v>
      </c>
      <c r="CA7" s="78" t="s">
        <v>295</v>
      </c>
      <c r="CB7" s="78" t="s">
        <v>296</v>
      </c>
      <c r="CC7" s="78" t="s">
        <v>298</v>
      </c>
      <c r="CD7" s="99" t="s">
        <v>294</v>
      </c>
      <c r="CE7" s="99" t="s">
        <v>295</v>
      </c>
      <c r="CF7" s="99" t="s">
        <v>296</v>
      </c>
      <c r="CG7" s="99" t="s">
        <v>298</v>
      </c>
      <c r="CH7" s="78" t="s">
        <v>294</v>
      </c>
      <c r="CI7" s="78" t="s">
        <v>295</v>
      </c>
      <c r="CJ7" s="78" t="s">
        <v>296</v>
      </c>
      <c r="CK7" s="78" t="s">
        <v>298</v>
      </c>
      <c r="CL7" s="99" t="s">
        <v>294</v>
      </c>
      <c r="CM7" s="99" t="s">
        <v>295</v>
      </c>
      <c r="CN7" s="99" t="s">
        <v>296</v>
      </c>
      <c r="CO7" s="99" t="s">
        <v>298</v>
      </c>
      <c r="CP7" s="78" t="s">
        <v>294</v>
      </c>
      <c r="CQ7" s="78" t="s">
        <v>295</v>
      </c>
      <c r="CR7" s="78" t="s">
        <v>296</v>
      </c>
      <c r="CS7" s="78" t="s">
        <v>298</v>
      </c>
      <c r="CT7" s="115" t="s">
        <v>294</v>
      </c>
      <c r="CU7" s="115" t="s">
        <v>295</v>
      </c>
      <c r="CV7" s="115" t="s">
        <v>296</v>
      </c>
      <c r="CW7" s="115" t="s">
        <v>298</v>
      </c>
      <c r="CX7" s="78" t="s">
        <v>294</v>
      </c>
      <c r="CY7" s="78" t="s">
        <v>295</v>
      </c>
      <c r="CZ7" s="78" t="s">
        <v>296</v>
      </c>
      <c r="DA7" s="78" t="s">
        <v>298</v>
      </c>
      <c r="DB7" s="156"/>
      <c r="DC7" s="158"/>
      <c r="DD7" s="156"/>
      <c r="DE7" s="156"/>
    </row>
    <row r="8" spans="1:109" s="20" customFormat="1" ht="14" x14ac:dyDescent="0.2">
      <c r="A8" s="21">
        <v>1</v>
      </c>
      <c r="B8" s="21">
        <v>2</v>
      </c>
      <c r="C8" s="21">
        <v>3</v>
      </c>
      <c r="D8" s="21">
        <v>4</v>
      </c>
      <c r="E8" s="21">
        <v>5</v>
      </c>
      <c r="F8" s="80">
        <v>6</v>
      </c>
      <c r="G8" s="80">
        <v>7</v>
      </c>
      <c r="H8" s="80">
        <v>8</v>
      </c>
      <c r="I8" s="80">
        <v>9</v>
      </c>
      <c r="J8" s="89">
        <v>10</v>
      </c>
      <c r="K8" s="89">
        <v>11</v>
      </c>
      <c r="L8" s="89">
        <v>12</v>
      </c>
      <c r="M8" s="89">
        <v>13</v>
      </c>
      <c r="N8" s="80">
        <v>14</v>
      </c>
      <c r="O8" s="80">
        <v>15</v>
      </c>
      <c r="P8" s="80">
        <v>16</v>
      </c>
      <c r="Q8" s="80">
        <v>17</v>
      </c>
      <c r="R8" s="89">
        <v>18</v>
      </c>
      <c r="S8" s="89">
        <v>19</v>
      </c>
      <c r="T8" s="89">
        <v>20</v>
      </c>
      <c r="U8" s="89">
        <v>21</v>
      </c>
      <c r="V8" s="80">
        <v>22</v>
      </c>
      <c r="W8" s="80">
        <v>23</v>
      </c>
      <c r="X8" s="80">
        <v>24</v>
      </c>
      <c r="Y8" s="80">
        <v>25</v>
      </c>
      <c r="Z8" s="89">
        <v>26</v>
      </c>
      <c r="AA8" s="89">
        <v>27</v>
      </c>
      <c r="AB8" s="89">
        <v>28</v>
      </c>
      <c r="AC8" s="89">
        <v>29</v>
      </c>
      <c r="AD8" s="80">
        <v>30</v>
      </c>
      <c r="AE8" s="80">
        <v>31</v>
      </c>
      <c r="AF8" s="80">
        <v>32</v>
      </c>
      <c r="AG8" s="80">
        <v>33</v>
      </c>
      <c r="AH8" s="89">
        <v>34</v>
      </c>
      <c r="AI8" s="89">
        <v>35</v>
      </c>
      <c r="AJ8" s="89">
        <v>36</v>
      </c>
      <c r="AK8" s="89">
        <v>37</v>
      </c>
      <c r="AL8" s="80">
        <v>38</v>
      </c>
      <c r="AM8" s="80">
        <v>39</v>
      </c>
      <c r="AN8" s="80">
        <v>40</v>
      </c>
      <c r="AO8" s="80">
        <v>41</v>
      </c>
      <c r="AP8" s="89">
        <v>42</v>
      </c>
      <c r="AQ8" s="89">
        <v>43</v>
      </c>
      <c r="AR8" s="89">
        <v>44</v>
      </c>
      <c r="AS8" s="89">
        <v>45</v>
      </c>
      <c r="AT8" s="80">
        <v>46</v>
      </c>
      <c r="AU8" s="80">
        <v>47</v>
      </c>
      <c r="AV8" s="80">
        <v>48</v>
      </c>
      <c r="AW8" s="80">
        <v>49</v>
      </c>
      <c r="AX8" s="89">
        <v>50</v>
      </c>
      <c r="AY8" s="89">
        <v>51</v>
      </c>
      <c r="AZ8" s="89">
        <v>52</v>
      </c>
      <c r="BA8" s="89">
        <v>53</v>
      </c>
      <c r="BB8" s="80">
        <v>54</v>
      </c>
      <c r="BC8" s="80">
        <v>55</v>
      </c>
      <c r="BD8" s="80">
        <v>56</v>
      </c>
      <c r="BE8" s="80">
        <v>57</v>
      </c>
      <c r="BF8" s="89">
        <v>58</v>
      </c>
      <c r="BG8" s="89">
        <v>59</v>
      </c>
      <c r="BH8" s="89">
        <v>60</v>
      </c>
      <c r="BI8" s="89">
        <v>61</v>
      </c>
      <c r="BJ8" s="80">
        <v>62</v>
      </c>
      <c r="BK8" s="80">
        <v>63</v>
      </c>
      <c r="BL8" s="80">
        <v>64</v>
      </c>
      <c r="BM8" s="80">
        <v>65</v>
      </c>
      <c r="BN8" s="89">
        <v>66</v>
      </c>
      <c r="BO8" s="89">
        <v>67</v>
      </c>
      <c r="BP8" s="89">
        <v>68</v>
      </c>
      <c r="BQ8" s="89">
        <v>69</v>
      </c>
      <c r="BR8" s="80">
        <v>70</v>
      </c>
      <c r="BS8" s="80">
        <v>71</v>
      </c>
      <c r="BT8" s="80">
        <v>72</v>
      </c>
      <c r="BU8" s="80">
        <v>73</v>
      </c>
      <c r="BV8" s="89">
        <v>74</v>
      </c>
      <c r="BW8" s="89">
        <v>75</v>
      </c>
      <c r="BX8" s="89">
        <v>76</v>
      </c>
      <c r="BY8" s="89">
        <v>77</v>
      </c>
      <c r="BZ8" s="80">
        <v>78</v>
      </c>
      <c r="CA8" s="80">
        <v>79</v>
      </c>
      <c r="CB8" s="80">
        <v>80</v>
      </c>
      <c r="CC8" s="80">
        <v>81</v>
      </c>
      <c r="CD8" s="89">
        <v>82</v>
      </c>
      <c r="CE8" s="89">
        <v>83</v>
      </c>
      <c r="CF8" s="89">
        <v>84</v>
      </c>
      <c r="CG8" s="89">
        <v>85</v>
      </c>
      <c r="CH8" s="80">
        <v>86</v>
      </c>
      <c r="CI8" s="80">
        <v>87</v>
      </c>
      <c r="CJ8" s="80">
        <v>88</v>
      </c>
      <c r="CK8" s="80">
        <v>89</v>
      </c>
      <c r="CL8" s="89">
        <v>90</v>
      </c>
      <c r="CM8" s="89">
        <v>91</v>
      </c>
      <c r="CN8" s="89">
        <v>92</v>
      </c>
      <c r="CO8" s="89">
        <v>93</v>
      </c>
      <c r="CP8" s="80">
        <v>94</v>
      </c>
      <c r="CQ8" s="80">
        <v>95</v>
      </c>
      <c r="CR8" s="80">
        <v>96</v>
      </c>
      <c r="CS8" s="80">
        <v>97</v>
      </c>
      <c r="CT8" s="89">
        <v>98</v>
      </c>
      <c r="CU8" s="89">
        <v>99</v>
      </c>
      <c r="CV8" s="89">
        <v>100</v>
      </c>
      <c r="CW8" s="89">
        <v>101</v>
      </c>
      <c r="CX8" s="80">
        <v>102</v>
      </c>
      <c r="CY8" s="80">
        <v>103</v>
      </c>
      <c r="CZ8" s="80">
        <v>104</v>
      </c>
      <c r="DA8" s="80">
        <v>105</v>
      </c>
      <c r="DB8" s="89">
        <v>106</v>
      </c>
      <c r="DC8" s="80">
        <v>107</v>
      </c>
      <c r="DD8" s="89">
        <v>108</v>
      </c>
      <c r="DE8" s="89">
        <v>109</v>
      </c>
    </row>
    <row r="9" spans="1:109" x14ac:dyDescent="0.2">
      <c r="A9" s="14">
        <v>1</v>
      </c>
      <c r="B9" s="28" t="s">
        <v>29</v>
      </c>
      <c r="C9" s="14" t="s">
        <v>664</v>
      </c>
      <c r="D9" s="22"/>
      <c r="E9" s="23"/>
      <c r="F9" s="81" t="s">
        <v>943</v>
      </c>
      <c r="G9" s="82" t="s">
        <v>657</v>
      </c>
      <c r="H9" s="82">
        <v>1</v>
      </c>
      <c r="I9" s="82">
        <v>76073.849545454548</v>
      </c>
      <c r="J9" s="90" t="s">
        <v>966</v>
      </c>
      <c r="K9" s="91" t="s">
        <v>657</v>
      </c>
      <c r="L9" s="91">
        <v>1</v>
      </c>
      <c r="M9" s="91">
        <v>76073.849545454548</v>
      </c>
      <c r="N9" s="82" t="s">
        <v>944</v>
      </c>
      <c r="O9" s="82" t="s">
        <v>658</v>
      </c>
      <c r="P9" s="82">
        <v>1</v>
      </c>
      <c r="Q9" s="82">
        <v>76073.849545454548</v>
      </c>
      <c r="R9" s="91"/>
      <c r="S9" s="91"/>
      <c r="T9" s="91"/>
      <c r="U9" s="91"/>
      <c r="V9" s="82"/>
      <c r="W9" s="82"/>
      <c r="X9" s="82"/>
      <c r="Y9" s="82"/>
      <c r="Z9" s="91"/>
      <c r="AA9" s="91"/>
      <c r="AB9" s="91"/>
      <c r="AC9" s="91"/>
      <c r="AD9" s="82"/>
      <c r="AE9" s="82"/>
      <c r="AF9" s="82"/>
      <c r="AG9" s="82"/>
      <c r="AH9" s="91"/>
      <c r="AI9" s="91"/>
      <c r="AJ9" s="91"/>
      <c r="AK9" s="91"/>
      <c r="AL9" s="82"/>
      <c r="AM9" s="82"/>
      <c r="AN9" s="82"/>
      <c r="AO9" s="82"/>
      <c r="AP9" s="91"/>
      <c r="AQ9" s="91"/>
      <c r="AR9" s="91"/>
      <c r="AS9" s="91"/>
      <c r="AT9" s="82"/>
      <c r="AU9" s="82"/>
      <c r="AV9" s="82"/>
      <c r="AW9" s="82"/>
      <c r="AX9" s="91"/>
      <c r="AY9" s="91"/>
      <c r="AZ9" s="91"/>
      <c r="BA9" s="91"/>
      <c r="BB9" s="82"/>
      <c r="BC9" s="82"/>
      <c r="BD9" s="82"/>
      <c r="BE9" s="82"/>
      <c r="BF9" s="91"/>
      <c r="BG9" s="91"/>
      <c r="BH9" s="91"/>
      <c r="BI9" s="91"/>
      <c r="BJ9" s="82"/>
      <c r="BK9" s="82"/>
      <c r="BL9" s="82"/>
      <c r="BM9" s="82"/>
      <c r="BN9" s="91"/>
      <c r="BO9" s="91"/>
      <c r="BP9" s="91"/>
      <c r="BQ9" s="91"/>
      <c r="BR9" s="82"/>
      <c r="BS9" s="82"/>
      <c r="BT9" s="82"/>
      <c r="BU9" s="82"/>
      <c r="BV9" s="91"/>
      <c r="BW9" s="91"/>
      <c r="BX9" s="91"/>
      <c r="BY9" s="91"/>
      <c r="BZ9" s="82"/>
      <c r="CA9" s="82"/>
      <c r="CB9" s="82"/>
      <c r="CC9" s="82"/>
      <c r="CD9" s="91"/>
      <c r="CE9" s="91"/>
      <c r="CF9" s="91"/>
      <c r="CG9" s="91"/>
      <c r="CH9" s="82"/>
      <c r="CI9" s="82"/>
      <c r="CJ9" s="82"/>
      <c r="CK9" s="82"/>
      <c r="CL9" s="91"/>
      <c r="CM9" s="91"/>
      <c r="CN9" s="91"/>
      <c r="CO9" s="91"/>
      <c r="CP9" s="82"/>
      <c r="CQ9" s="82"/>
      <c r="CR9" s="82"/>
      <c r="CS9" s="82"/>
      <c r="CT9" s="91"/>
      <c r="CU9" s="91"/>
      <c r="CV9" s="91"/>
      <c r="CW9" s="91"/>
      <c r="CX9" s="82"/>
      <c r="CY9" s="82"/>
      <c r="CZ9" s="82"/>
      <c r="DA9" s="82"/>
      <c r="DB9" s="91">
        <v>76073.849545454548</v>
      </c>
      <c r="DC9" s="82">
        <v>228221.54863636364</v>
      </c>
      <c r="DD9" s="91"/>
      <c r="DE9" s="101"/>
    </row>
    <row r="10" spans="1:109" x14ac:dyDescent="0.2">
      <c r="A10" s="14">
        <v>2</v>
      </c>
      <c r="B10" s="28" t="s">
        <v>38</v>
      </c>
      <c r="C10" s="14" t="s">
        <v>665</v>
      </c>
      <c r="D10" s="22"/>
      <c r="E10" s="23"/>
      <c r="F10" s="81"/>
      <c r="G10" s="82"/>
      <c r="H10" s="82"/>
      <c r="I10" s="82"/>
      <c r="J10" s="91"/>
      <c r="K10" s="91"/>
      <c r="L10" s="91"/>
      <c r="M10" s="91"/>
      <c r="N10" s="82"/>
      <c r="O10" s="82"/>
      <c r="P10" s="82"/>
      <c r="Q10" s="82"/>
      <c r="R10" s="91"/>
      <c r="S10" s="91"/>
      <c r="T10" s="91"/>
      <c r="U10" s="91"/>
      <c r="V10" s="82"/>
      <c r="W10" s="82"/>
      <c r="X10" s="82"/>
      <c r="Y10" s="82"/>
      <c r="Z10" s="91"/>
      <c r="AA10" s="91"/>
      <c r="AB10" s="91"/>
      <c r="AC10" s="91"/>
      <c r="AD10" s="82"/>
      <c r="AE10" s="82"/>
      <c r="AF10" s="82"/>
      <c r="AG10" s="82"/>
      <c r="AH10" s="91"/>
      <c r="AI10" s="91"/>
      <c r="AJ10" s="91"/>
      <c r="AK10" s="91"/>
      <c r="AL10" s="82"/>
      <c r="AM10" s="82"/>
      <c r="AN10" s="82"/>
      <c r="AO10" s="82"/>
      <c r="AP10" s="91"/>
      <c r="AQ10" s="91"/>
      <c r="AR10" s="91"/>
      <c r="AS10" s="91"/>
      <c r="AT10" s="82"/>
      <c r="AU10" s="82"/>
      <c r="AV10" s="82"/>
      <c r="AW10" s="82"/>
      <c r="AX10" s="91"/>
      <c r="AY10" s="91"/>
      <c r="AZ10" s="91"/>
      <c r="BA10" s="91"/>
      <c r="BB10" s="82"/>
      <c r="BC10" s="82"/>
      <c r="BD10" s="82"/>
      <c r="BE10" s="82"/>
      <c r="BF10" s="91"/>
      <c r="BG10" s="91"/>
      <c r="BH10" s="91"/>
      <c r="BI10" s="91"/>
      <c r="BJ10" s="82"/>
      <c r="BK10" s="82"/>
      <c r="BL10" s="82"/>
      <c r="BM10" s="82"/>
      <c r="BN10" s="91"/>
      <c r="BO10" s="91"/>
      <c r="BP10" s="91"/>
      <c r="BQ10" s="91"/>
      <c r="BR10" s="82"/>
      <c r="BS10" s="82"/>
      <c r="BT10" s="82"/>
      <c r="BU10" s="82"/>
      <c r="BV10" s="91"/>
      <c r="BW10" s="91"/>
      <c r="BX10" s="91"/>
      <c r="BY10" s="91"/>
      <c r="BZ10" s="82"/>
      <c r="CA10" s="82"/>
      <c r="CB10" s="82"/>
      <c r="CC10" s="82"/>
      <c r="CD10" s="91"/>
      <c r="CE10" s="91"/>
      <c r="CF10" s="91"/>
      <c r="CG10" s="91"/>
      <c r="CH10" s="82"/>
      <c r="CI10" s="82"/>
      <c r="CJ10" s="82"/>
      <c r="CK10" s="82"/>
      <c r="CL10" s="91"/>
      <c r="CM10" s="91"/>
      <c r="CN10" s="91"/>
      <c r="CO10" s="91"/>
      <c r="CP10" s="82"/>
      <c r="CQ10" s="82"/>
      <c r="CR10" s="82"/>
      <c r="CS10" s="82"/>
      <c r="CT10" s="91"/>
      <c r="CU10" s="91"/>
      <c r="CV10" s="91"/>
      <c r="CW10" s="91"/>
      <c r="CX10" s="82"/>
      <c r="CY10" s="82"/>
      <c r="CZ10" s="82"/>
      <c r="DA10" s="82"/>
      <c r="DB10" s="91"/>
      <c r="DC10" s="82"/>
      <c r="DD10" s="91"/>
      <c r="DE10" s="101"/>
    </row>
    <row r="11" spans="1:109" x14ac:dyDescent="0.2">
      <c r="A11" s="14">
        <v>3</v>
      </c>
      <c r="B11" s="28" t="s">
        <v>845</v>
      </c>
      <c r="C11" s="14" t="s">
        <v>666</v>
      </c>
      <c r="D11" s="22"/>
      <c r="E11" s="23"/>
      <c r="F11" s="82" t="s">
        <v>938</v>
      </c>
      <c r="G11" s="82" t="s">
        <v>657</v>
      </c>
      <c r="H11" s="82">
        <v>1</v>
      </c>
      <c r="I11" s="82">
        <v>67881.272727272721</v>
      </c>
      <c r="J11" s="91" t="s">
        <v>939</v>
      </c>
      <c r="K11" s="91" t="s">
        <v>657</v>
      </c>
      <c r="L11" s="91">
        <v>1</v>
      </c>
      <c r="M11" s="91">
        <v>67881.272727272706</v>
      </c>
      <c r="N11" s="82" t="s">
        <v>940</v>
      </c>
      <c r="O11" s="82" t="s">
        <v>657</v>
      </c>
      <c r="P11" s="82">
        <v>1</v>
      </c>
      <c r="Q11" s="82">
        <v>67881.272727272706</v>
      </c>
      <c r="R11" s="91" t="s">
        <v>953</v>
      </c>
      <c r="S11" s="91" t="s">
        <v>657</v>
      </c>
      <c r="T11" s="91">
        <v>1</v>
      </c>
      <c r="U11" s="91">
        <v>67881.272727272706</v>
      </c>
      <c r="V11" s="82"/>
      <c r="W11" s="82"/>
      <c r="X11" s="82"/>
      <c r="Y11" s="82"/>
      <c r="Z11" s="91"/>
      <c r="AA11" s="91"/>
      <c r="AB11" s="91"/>
      <c r="AC11" s="91"/>
      <c r="AD11" s="82"/>
      <c r="AE11" s="82"/>
      <c r="AF11" s="82"/>
      <c r="AG11" s="82"/>
      <c r="AH11" s="91"/>
      <c r="AI11" s="91"/>
      <c r="AJ11" s="91"/>
      <c r="AK11" s="91"/>
      <c r="AL11" s="82"/>
      <c r="AM11" s="82"/>
      <c r="AN11" s="82"/>
      <c r="AO11" s="82"/>
      <c r="AP11" s="91"/>
      <c r="AQ11" s="91"/>
      <c r="AR11" s="91"/>
      <c r="AS11" s="91"/>
      <c r="AT11" s="82"/>
      <c r="AU11" s="82"/>
      <c r="AV11" s="82"/>
      <c r="AW11" s="82"/>
      <c r="AX11" s="91"/>
      <c r="AY11" s="91"/>
      <c r="AZ11" s="91"/>
      <c r="BA11" s="91"/>
      <c r="BB11" s="82"/>
      <c r="BC11" s="82"/>
      <c r="BD11" s="82"/>
      <c r="BE11" s="82"/>
      <c r="BF11" s="91"/>
      <c r="BG11" s="91"/>
      <c r="BH11" s="91"/>
      <c r="BI11" s="91"/>
      <c r="BJ11" s="82"/>
      <c r="BK11" s="82"/>
      <c r="BL11" s="82"/>
      <c r="BM11" s="82"/>
      <c r="BN11" s="91"/>
      <c r="BO11" s="91"/>
      <c r="BP11" s="91"/>
      <c r="BQ11" s="91"/>
      <c r="BR11" s="82"/>
      <c r="BS11" s="82"/>
      <c r="BT11" s="82"/>
      <c r="BU11" s="82"/>
      <c r="BV11" s="91"/>
      <c r="BW11" s="91"/>
      <c r="BX11" s="91"/>
      <c r="BY11" s="91"/>
      <c r="BZ11" s="82"/>
      <c r="CA11" s="82"/>
      <c r="CB11" s="82"/>
      <c r="CC11" s="82"/>
      <c r="CD11" s="91"/>
      <c r="CE11" s="91"/>
      <c r="CF11" s="91"/>
      <c r="CG11" s="91"/>
      <c r="CH11" s="82"/>
      <c r="CI11" s="82"/>
      <c r="CJ11" s="82"/>
      <c r="CK11" s="82"/>
      <c r="CL11" s="91"/>
      <c r="CM11" s="91"/>
      <c r="CN11" s="91"/>
      <c r="CO11" s="91"/>
      <c r="CP11" s="82"/>
      <c r="CQ11" s="82"/>
      <c r="CR11" s="82"/>
      <c r="CS11" s="82"/>
      <c r="CT11" s="91"/>
      <c r="CU11" s="91"/>
      <c r="CV11" s="91"/>
      <c r="CW11" s="91"/>
      <c r="CX11" s="82"/>
      <c r="CY11" s="82"/>
      <c r="CZ11" s="82"/>
      <c r="DA11" s="82"/>
      <c r="DB11" s="91">
        <v>67881.272727272721</v>
      </c>
      <c r="DC11" s="82">
        <v>271525.09090909082</v>
      </c>
      <c r="DD11" s="91"/>
      <c r="DE11" s="101"/>
    </row>
    <row r="12" spans="1:109" x14ac:dyDescent="0.2">
      <c r="A12" s="14">
        <v>4</v>
      </c>
      <c r="B12" s="28" t="s">
        <v>44</v>
      </c>
      <c r="C12" s="14" t="s">
        <v>802</v>
      </c>
      <c r="D12" s="22"/>
      <c r="E12" s="23"/>
      <c r="F12" s="82" t="s">
        <v>938</v>
      </c>
      <c r="G12" s="82" t="s">
        <v>657</v>
      </c>
      <c r="H12" s="82">
        <v>1</v>
      </c>
      <c r="I12" s="82">
        <v>67881.281363636357</v>
      </c>
      <c r="J12" s="91" t="s">
        <v>954</v>
      </c>
      <c r="K12" s="91" t="s">
        <v>657</v>
      </c>
      <c r="L12" s="91">
        <v>1</v>
      </c>
      <c r="M12" s="91">
        <v>67881.281363636357</v>
      </c>
      <c r="N12" s="82" t="s">
        <v>940</v>
      </c>
      <c r="O12" s="82" t="s">
        <v>657</v>
      </c>
      <c r="P12" s="82">
        <v>1</v>
      </c>
      <c r="Q12" s="82">
        <v>67881.281363636357</v>
      </c>
      <c r="R12" s="91" t="s">
        <v>953</v>
      </c>
      <c r="S12" s="91" t="s">
        <v>657</v>
      </c>
      <c r="T12" s="91">
        <v>1</v>
      </c>
      <c r="U12" s="91">
        <v>67881.281363636357</v>
      </c>
      <c r="V12" s="82"/>
      <c r="W12" s="82"/>
      <c r="X12" s="82"/>
      <c r="Y12" s="82"/>
      <c r="Z12" s="91"/>
      <c r="AA12" s="91"/>
      <c r="AB12" s="91"/>
      <c r="AC12" s="91"/>
      <c r="AD12" s="82"/>
      <c r="AE12" s="82"/>
      <c r="AF12" s="82"/>
      <c r="AG12" s="82"/>
      <c r="AH12" s="91"/>
      <c r="AI12" s="91"/>
      <c r="AJ12" s="91"/>
      <c r="AK12" s="91"/>
      <c r="AL12" s="82"/>
      <c r="AM12" s="82"/>
      <c r="AN12" s="82"/>
      <c r="AO12" s="82"/>
      <c r="AP12" s="91"/>
      <c r="AQ12" s="91"/>
      <c r="AR12" s="91"/>
      <c r="AS12" s="91"/>
      <c r="AT12" s="82"/>
      <c r="AU12" s="82"/>
      <c r="AV12" s="82"/>
      <c r="AW12" s="82"/>
      <c r="AX12" s="91"/>
      <c r="AY12" s="91"/>
      <c r="AZ12" s="91"/>
      <c r="BA12" s="91"/>
      <c r="BB12" s="82"/>
      <c r="BC12" s="82"/>
      <c r="BD12" s="82"/>
      <c r="BE12" s="82"/>
      <c r="BF12" s="91"/>
      <c r="BG12" s="91"/>
      <c r="BH12" s="91"/>
      <c r="BI12" s="91"/>
      <c r="BJ12" s="82"/>
      <c r="BK12" s="82"/>
      <c r="BL12" s="82"/>
      <c r="BM12" s="82"/>
      <c r="BN12" s="91"/>
      <c r="BO12" s="91"/>
      <c r="BP12" s="91"/>
      <c r="BQ12" s="91"/>
      <c r="BR12" s="82"/>
      <c r="BS12" s="82"/>
      <c r="BT12" s="82"/>
      <c r="BU12" s="82"/>
      <c r="BV12" s="91"/>
      <c r="BW12" s="91"/>
      <c r="BX12" s="91"/>
      <c r="BY12" s="91"/>
      <c r="BZ12" s="82"/>
      <c r="CA12" s="82"/>
      <c r="CB12" s="82"/>
      <c r="CC12" s="82"/>
      <c r="CD12" s="91"/>
      <c r="CE12" s="91"/>
      <c r="CF12" s="91"/>
      <c r="CG12" s="91"/>
      <c r="CH12" s="82"/>
      <c r="CI12" s="82"/>
      <c r="CJ12" s="82"/>
      <c r="CK12" s="82"/>
      <c r="CL12" s="91"/>
      <c r="CM12" s="91"/>
      <c r="CN12" s="91"/>
      <c r="CO12" s="91"/>
      <c r="CP12" s="82"/>
      <c r="CQ12" s="82"/>
      <c r="CR12" s="82"/>
      <c r="CS12" s="82"/>
      <c r="CT12" s="91"/>
      <c r="CU12" s="91"/>
      <c r="CV12" s="91"/>
      <c r="CW12" s="91"/>
      <c r="CX12" s="82"/>
      <c r="CY12" s="82"/>
      <c r="CZ12" s="82"/>
      <c r="DA12" s="82"/>
      <c r="DB12" s="91">
        <v>67881.281363636357</v>
      </c>
      <c r="DC12" s="82">
        <v>271525.12545454543</v>
      </c>
      <c r="DD12" s="91"/>
      <c r="DE12" s="101"/>
    </row>
    <row r="13" spans="1:109" x14ac:dyDescent="0.2">
      <c r="A13" s="14">
        <v>5</v>
      </c>
      <c r="B13" s="28" t="s">
        <v>45</v>
      </c>
      <c r="C13" s="14" t="s">
        <v>667</v>
      </c>
      <c r="D13" s="22"/>
      <c r="E13" s="23"/>
      <c r="F13" s="82"/>
      <c r="G13" s="82"/>
      <c r="H13" s="82"/>
      <c r="I13" s="82"/>
      <c r="J13" s="91"/>
      <c r="K13" s="91"/>
      <c r="L13" s="91"/>
      <c r="M13" s="91"/>
      <c r="N13" s="82"/>
      <c r="O13" s="82"/>
      <c r="P13" s="82"/>
      <c r="Q13" s="82"/>
      <c r="R13" s="91"/>
      <c r="S13" s="91"/>
      <c r="T13" s="91"/>
      <c r="U13" s="91"/>
      <c r="V13" s="82"/>
      <c r="W13" s="82"/>
      <c r="X13" s="82"/>
      <c r="Y13" s="82"/>
      <c r="Z13" s="91"/>
      <c r="AA13" s="91"/>
      <c r="AB13" s="91"/>
      <c r="AC13" s="91"/>
      <c r="AD13" s="82"/>
      <c r="AE13" s="82"/>
      <c r="AF13" s="82"/>
      <c r="AG13" s="82"/>
      <c r="AH13" s="91"/>
      <c r="AI13" s="91"/>
      <c r="AJ13" s="91"/>
      <c r="AK13" s="91"/>
      <c r="AL13" s="82"/>
      <c r="AM13" s="82"/>
      <c r="AN13" s="82"/>
      <c r="AO13" s="82"/>
      <c r="AP13" s="91"/>
      <c r="AQ13" s="91"/>
      <c r="AR13" s="91"/>
      <c r="AS13" s="91"/>
      <c r="AT13" s="82"/>
      <c r="AU13" s="82"/>
      <c r="AV13" s="82"/>
      <c r="AW13" s="82"/>
      <c r="AX13" s="91"/>
      <c r="AY13" s="91"/>
      <c r="AZ13" s="91"/>
      <c r="BA13" s="91"/>
      <c r="BB13" s="82"/>
      <c r="BC13" s="82"/>
      <c r="BD13" s="82"/>
      <c r="BE13" s="82"/>
      <c r="BF13" s="91"/>
      <c r="BG13" s="91"/>
      <c r="BH13" s="91"/>
      <c r="BI13" s="91"/>
      <c r="BJ13" s="82"/>
      <c r="BK13" s="82"/>
      <c r="BL13" s="82"/>
      <c r="BM13" s="82"/>
      <c r="BN13" s="91"/>
      <c r="BO13" s="91"/>
      <c r="BP13" s="91"/>
      <c r="BQ13" s="91"/>
      <c r="BR13" s="82"/>
      <c r="BS13" s="82"/>
      <c r="BT13" s="82"/>
      <c r="BU13" s="82"/>
      <c r="BV13" s="91"/>
      <c r="BW13" s="91"/>
      <c r="BX13" s="91"/>
      <c r="BY13" s="91"/>
      <c r="BZ13" s="82"/>
      <c r="CA13" s="82"/>
      <c r="CB13" s="82"/>
      <c r="CC13" s="82"/>
      <c r="CD13" s="91"/>
      <c r="CE13" s="91"/>
      <c r="CF13" s="91"/>
      <c r="CG13" s="91"/>
      <c r="CH13" s="82"/>
      <c r="CI13" s="82"/>
      <c r="CJ13" s="82"/>
      <c r="CK13" s="82"/>
      <c r="CL13" s="91"/>
      <c r="CM13" s="91"/>
      <c r="CN13" s="91"/>
      <c r="CO13" s="91"/>
      <c r="CP13" s="82"/>
      <c r="CQ13" s="82"/>
      <c r="CR13" s="82"/>
      <c r="CS13" s="82"/>
      <c r="CT13" s="91"/>
      <c r="CU13" s="91"/>
      <c r="CV13" s="91"/>
      <c r="CW13" s="91"/>
      <c r="CX13" s="82"/>
      <c r="CY13" s="82"/>
      <c r="CZ13" s="82"/>
      <c r="DA13" s="82"/>
      <c r="DB13" s="91"/>
      <c r="DC13" s="82"/>
      <c r="DD13" s="91"/>
      <c r="DE13" s="101"/>
    </row>
    <row r="14" spans="1:109" x14ac:dyDescent="0.2">
      <c r="A14" s="14">
        <v>6</v>
      </c>
      <c r="B14" s="28" t="s">
        <v>47</v>
      </c>
      <c r="C14" s="14" t="s">
        <v>668</v>
      </c>
      <c r="D14" s="22"/>
      <c r="E14" s="24"/>
      <c r="F14" s="82" t="s">
        <v>950</v>
      </c>
      <c r="G14" s="82" t="s">
        <v>662</v>
      </c>
      <c r="H14" s="82">
        <v>0.79375000000000018</v>
      </c>
      <c r="I14" s="82">
        <v>65028.511747159107</v>
      </c>
      <c r="J14" s="91" t="s">
        <v>942</v>
      </c>
      <c r="K14" s="91" t="s">
        <v>662</v>
      </c>
      <c r="L14" s="91">
        <v>0.67375000000000007</v>
      </c>
      <c r="M14" s="91">
        <v>55197.429656250009</v>
      </c>
      <c r="N14" s="82" t="s">
        <v>945</v>
      </c>
      <c r="O14" s="82" t="s">
        <v>662</v>
      </c>
      <c r="P14" s="82">
        <v>0.29749999999999988</v>
      </c>
      <c r="Q14" s="82">
        <v>24372.891017045447</v>
      </c>
      <c r="R14" s="91" t="s">
        <v>946</v>
      </c>
      <c r="S14" s="91" t="s">
        <v>662</v>
      </c>
      <c r="T14" s="91">
        <v>0.5012500000000002</v>
      </c>
      <c r="U14" s="91">
        <v>41065.249150568197</v>
      </c>
      <c r="V14" s="82"/>
      <c r="W14" s="82"/>
      <c r="X14" s="82"/>
      <c r="Y14" s="82"/>
      <c r="Z14" s="91"/>
      <c r="AA14" s="91"/>
      <c r="AB14" s="91"/>
      <c r="AC14" s="91"/>
      <c r="AD14" s="82"/>
      <c r="AE14" s="82"/>
      <c r="AF14" s="82"/>
      <c r="AG14" s="82"/>
      <c r="AH14" s="91"/>
      <c r="AI14" s="91"/>
      <c r="AJ14" s="91"/>
      <c r="AK14" s="91"/>
      <c r="AL14" s="82"/>
      <c r="AM14" s="82"/>
      <c r="AN14" s="82"/>
      <c r="AO14" s="82"/>
      <c r="AP14" s="91"/>
      <c r="AQ14" s="91"/>
      <c r="AR14" s="91"/>
      <c r="AS14" s="91"/>
      <c r="AT14" s="82"/>
      <c r="AU14" s="82"/>
      <c r="AV14" s="82"/>
      <c r="AW14" s="82"/>
      <c r="AX14" s="91"/>
      <c r="AY14" s="91"/>
      <c r="AZ14" s="91"/>
      <c r="BA14" s="91"/>
      <c r="BB14" s="82"/>
      <c r="BC14" s="82"/>
      <c r="BD14" s="82"/>
      <c r="BE14" s="82"/>
      <c r="BF14" s="91"/>
      <c r="BG14" s="91"/>
      <c r="BH14" s="91"/>
      <c r="BI14" s="91"/>
      <c r="BJ14" s="82"/>
      <c r="BK14" s="82"/>
      <c r="BL14" s="82"/>
      <c r="BM14" s="82"/>
      <c r="BN14" s="91"/>
      <c r="BO14" s="91"/>
      <c r="BP14" s="91"/>
      <c r="BQ14" s="91"/>
      <c r="BR14" s="82"/>
      <c r="BS14" s="82"/>
      <c r="BT14" s="82"/>
      <c r="BU14" s="82"/>
      <c r="BV14" s="91"/>
      <c r="BW14" s="91"/>
      <c r="BX14" s="91"/>
      <c r="BY14" s="91"/>
      <c r="BZ14" s="82"/>
      <c r="CA14" s="82"/>
      <c r="CB14" s="82"/>
      <c r="CC14" s="82"/>
      <c r="CD14" s="91"/>
      <c r="CE14" s="91"/>
      <c r="CF14" s="91"/>
      <c r="CG14" s="91"/>
      <c r="CH14" s="82"/>
      <c r="CI14" s="82"/>
      <c r="CJ14" s="82"/>
      <c r="CK14" s="82"/>
      <c r="CL14" s="91"/>
      <c r="CM14" s="91"/>
      <c r="CN14" s="91"/>
      <c r="CO14" s="91"/>
      <c r="CP14" s="82"/>
      <c r="CQ14" s="82"/>
      <c r="CR14" s="82"/>
      <c r="CS14" s="82"/>
      <c r="CT14" s="91"/>
      <c r="CU14" s="91"/>
      <c r="CV14" s="91"/>
      <c r="CW14" s="91"/>
      <c r="CX14" s="82"/>
      <c r="CY14" s="82"/>
      <c r="CZ14" s="82"/>
      <c r="DA14" s="82"/>
      <c r="DB14" s="91">
        <v>81925.684090909097</v>
      </c>
      <c r="DC14" s="82">
        <v>185664.08157102275</v>
      </c>
      <c r="DD14" s="91"/>
      <c r="DE14" s="101"/>
    </row>
    <row r="15" spans="1:109" x14ac:dyDescent="0.2">
      <c r="A15" s="14">
        <v>7</v>
      </c>
      <c r="B15" s="28" t="s">
        <v>49</v>
      </c>
      <c r="C15" s="14" t="s">
        <v>669</v>
      </c>
      <c r="D15" s="22"/>
      <c r="E15" s="24"/>
      <c r="F15" s="82" t="s">
        <v>966</v>
      </c>
      <c r="G15" s="82" t="s">
        <v>662</v>
      </c>
      <c r="H15" s="82">
        <v>1</v>
      </c>
      <c r="I15" s="82">
        <v>67881.272727272721</v>
      </c>
      <c r="J15" s="91" t="s">
        <v>938</v>
      </c>
      <c r="K15" s="91" t="s">
        <v>658</v>
      </c>
      <c r="L15" s="91">
        <v>1</v>
      </c>
      <c r="M15" s="91">
        <v>67881.272727272706</v>
      </c>
      <c r="N15" s="82" t="s">
        <v>951</v>
      </c>
      <c r="O15" s="82" t="s">
        <v>658</v>
      </c>
      <c r="P15" s="82">
        <v>1</v>
      </c>
      <c r="Q15" s="82">
        <v>67881.272727272706</v>
      </c>
      <c r="R15" s="91"/>
      <c r="S15" s="91"/>
      <c r="T15" s="91"/>
      <c r="U15" s="91"/>
      <c r="V15" s="82"/>
      <c r="W15" s="82"/>
      <c r="X15" s="82"/>
      <c r="Y15" s="82"/>
      <c r="Z15" s="91"/>
      <c r="AA15" s="91"/>
      <c r="AB15" s="91"/>
      <c r="AC15" s="91"/>
      <c r="AD15" s="82"/>
      <c r="AE15" s="82"/>
      <c r="AF15" s="82"/>
      <c r="AG15" s="82"/>
      <c r="AH15" s="91"/>
      <c r="AI15" s="91"/>
      <c r="AJ15" s="91"/>
      <c r="AK15" s="91"/>
      <c r="AL15" s="82"/>
      <c r="AM15" s="82"/>
      <c r="AN15" s="82"/>
      <c r="AO15" s="82"/>
      <c r="AP15" s="91"/>
      <c r="AQ15" s="91"/>
      <c r="AR15" s="91"/>
      <c r="AS15" s="91"/>
      <c r="AT15" s="82"/>
      <c r="AU15" s="82"/>
      <c r="AV15" s="82"/>
      <c r="AW15" s="82"/>
      <c r="AX15" s="91"/>
      <c r="AY15" s="91"/>
      <c r="AZ15" s="91"/>
      <c r="BA15" s="91"/>
      <c r="BB15" s="82"/>
      <c r="BC15" s="82"/>
      <c r="BD15" s="82"/>
      <c r="BE15" s="82"/>
      <c r="BF15" s="91"/>
      <c r="BG15" s="91"/>
      <c r="BH15" s="91"/>
      <c r="BI15" s="91"/>
      <c r="BJ15" s="82"/>
      <c r="BK15" s="82"/>
      <c r="BL15" s="82"/>
      <c r="BM15" s="82"/>
      <c r="BN15" s="91"/>
      <c r="BO15" s="91"/>
      <c r="BP15" s="91"/>
      <c r="BQ15" s="91"/>
      <c r="BR15" s="82"/>
      <c r="BS15" s="82"/>
      <c r="BT15" s="82"/>
      <c r="BU15" s="82"/>
      <c r="BV15" s="91"/>
      <c r="BW15" s="91"/>
      <c r="BX15" s="91"/>
      <c r="BY15" s="91"/>
      <c r="BZ15" s="82"/>
      <c r="CA15" s="82"/>
      <c r="CB15" s="82"/>
      <c r="CC15" s="82"/>
      <c r="CD15" s="91"/>
      <c r="CE15" s="91"/>
      <c r="CF15" s="91"/>
      <c r="CG15" s="91"/>
      <c r="CH15" s="82"/>
      <c r="CI15" s="82"/>
      <c r="CJ15" s="82"/>
      <c r="CK15" s="82"/>
      <c r="CL15" s="91"/>
      <c r="CM15" s="91"/>
      <c r="CN15" s="91"/>
      <c r="CO15" s="91"/>
      <c r="CP15" s="82"/>
      <c r="CQ15" s="82"/>
      <c r="CR15" s="82"/>
      <c r="CS15" s="82"/>
      <c r="CT15" s="91"/>
      <c r="CU15" s="91"/>
      <c r="CV15" s="91"/>
      <c r="CW15" s="91"/>
      <c r="CX15" s="82"/>
      <c r="CY15" s="82"/>
      <c r="CZ15" s="82"/>
      <c r="DA15" s="82"/>
      <c r="DB15" s="91">
        <v>67881.272727272721</v>
      </c>
      <c r="DC15" s="82">
        <v>203643.81818181812</v>
      </c>
      <c r="DD15" s="91"/>
      <c r="DE15" s="101"/>
    </row>
    <row r="16" spans="1:109" x14ac:dyDescent="0.2">
      <c r="A16" s="14">
        <v>8</v>
      </c>
      <c r="B16" s="28" t="s">
        <v>51</v>
      </c>
      <c r="C16" s="14" t="s">
        <v>670</v>
      </c>
      <c r="D16" s="22"/>
      <c r="E16" s="24"/>
      <c r="F16" s="82" t="s">
        <v>950</v>
      </c>
      <c r="G16" s="82" t="s">
        <v>662</v>
      </c>
      <c r="H16" s="82">
        <v>0.63375000000000004</v>
      </c>
      <c r="I16" s="82">
        <v>48211.802149431824</v>
      </c>
      <c r="J16" s="91" t="s">
        <v>944</v>
      </c>
      <c r="K16" s="91" t="s">
        <v>657</v>
      </c>
      <c r="L16" s="91">
        <v>1</v>
      </c>
      <c r="M16" s="91">
        <v>76073.849545454548</v>
      </c>
      <c r="N16" s="82" t="s">
        <v>958</v>
      </c>
      <c r="O16" s="82" t="s">
        <v>662</v>
      </c>
      <c r="P16" s="82">
        <v>0.625</v>
      </c>
      <c r="Q16" s="82">
        <v>47546.155965909093</v>
      </c>
      <c r="R16" s="91"/>
      <c r="S16" s="91"/>
      <c r="T16" s="91"/>
      <c r="U16" s="91"/>
      <c r="V16" s="82"/>
      <c r="W16" s="82"/>
      <c r="X16" s="82"/>
      <c r="Y16" s="82"/>
      <c r="Z16" s="91"/>
      <c r="AA16" s="91"/>
      <c r="AB16" s="91"/>
      <c r="AC16" s="91"/>
      <c r="AD16" s="82"/>
      <c r="AE16" s="82"/>
      <c r="AF16" s="82"/>
      <c r="AG16" s="82"/>
      <c r="AH16" s="91"/>
      <c r="AI16" s="91"/>
      <c r="AJ16" s="91"/>
      <c r="AK16" s="91"/>
      <c r="AL16" s="82"/>
      <c r="AM16" s="82"/>
      <c r="AN16" s="82"/>
      <c r="AO16" s="82"/>
      <c r="AP16" s="91"/>
      <c r="AQ16" s="91"/>
      <c r="AR16" s="91"/>
      <c r="AS16" s="91"/>
      <c r="AT16" s="82"/>
      <c r="AU16" s="82"/>
      <c r="AV16" s="82"/>
      <c r="AW16" s="82"/>
      <c r="AX16" s="91"/>
      <c r="AY16" s="91"/>
      <c r="AZ16" s="91"/>
      <c r="BA16" s="91"/>
      <c r="BB16" s="82"/>
      <c r="BC16" s="82"/>
      <c r="BD16" s="82"/>
      <c r="BE16" s="82"/>
      <c r="BF16" s="91"/>
      <c r="BG16" s="91"/>
      <c r="BH16" s="91"/>
      <c r="BI16" s="91"/>
      <c r="BJ16" s="82"/>
      <c r="BK16" s="82"/>
      <c r="BL16" s="82"/>
      <c r="BM16" s="82"/>
      <c r="BN16" s="91"/>
      <c r="BO16" s="91"/>
      <c r="BP16" s="91"/>
      <c r="BQ16" s="91"/>
      <c r="BR16" s="82"/>
      <c r="BS16" s="82"/>
      <c r="BT16" s="82"/>
      <c r="BU16" s="82"/>
      <c r="BV16" s="91"/>
      <c r="BW16" s="91"/>
      <c r="BX16" s="91"/>
      <c r="BY16" s="91"/>
      <c r="BZ16" s="82"/>
      <c r="CA16" s="82"/>
      <c r="CB16" s="82"/>
      <c r="CC16" s="82"/>
      <c r="CD16" s="91"/>
      <c r="CE16" s="91"/>
      <c r="CF16" s="91"/>
      <c r="CG16" s="91"/>
      <c r="CH16" s="82"/>
      <c r="CI16" s="82"/>
      <c r="CJ16" s="82"/>
      <c r="CK16" s="82"/>
      <c r="CL16" s="91"/>
      <c r="CM16" s="91"/>
      <c r="CN16" s="91"/>
      <c r="CO16" s="91"/>
      <c r="CP16" s="82"/>
      <c r="CQ16" s="82"/>
      <c r="CR16" s="82"/>
      <c r="CS16" s="82"/>
      <c r="CT16" s="91"/>
      <c r="CU16" s="91"/>
      <c r="CV16" s="91"/>
      <c r="CW16" s="91"/>
      <c r="CX16" s="82"/>
      <c r="CY16" s="82"/>
      <c r="CZ16" s="82"/>
      <c r="DA16" s="82"/>
      <c r="DB16" s="91">
        <v>76073.849545454548</v>
      </c>
      <c r="DC16" s="82">
        <v>171831.80766079546</v>
      </c>
      <c r="DD16" s="91"/>
      <c r="DE16" s="101"/>
    </row>
    <row r="17" spans="1:109" x14ac:dyDescent="0.2">
      <c r="A17" s="14">
        <v>9</v>
      </c>
      <c r="B17" s="28" t="s">
        <v>53</v>
      </c>
      <c r="C17" s="14" t="s">
        <v>671</v>
      </c>
      <c r="D17" s="22"/>
      <c r="E17" s="24"/>
      <c r="F17" s="82" t="s">
        <v>958</v>
      </c>
      <c r="G17" s="82" t="s">
        <v>658</v>
      </c>
      <c r="H17" s="82">
        <v>1</v>
      </c>
      <c r="I17" s="82">
        <v>76073.849545454548</v>
      </c>
      <c r="J17" s="91" t="s">
        <v>840</v>
      </c>
      <c r="K17" s="91" t="s">
        <v>658</v>
      </c>
      <c r="L17" s="91">
        <v>1</v>
      </c>
      <c r="M17" s="91">
        <v>76073.849545454505</v>
      </c>
      <c r="N17" s="82"/>
      <c r="O17" s="82"/>
      <c r="P17" s="82"/>
      <c r="Q17" s="82"/>
      <c r="R17" s="91"/>
      <c r="S17" s="91"/>
      <c r="T17" s="91"/>
      <c r="U17" s="91"/>
      <c r="V17" s="82"/>
      <c r="W17" s="82"/>
      <c r="X17" s="82"/>
      <c r="Y17" s="82"/>
      <c r="Z17" s="91"/>
      <c r="AA17" s="91"/>
      <c r="AB17" s="91"/>
      <c r="AC17" s="91"/>
      <c r="AD17" s="82"/>
      <c r="AE17" s="82"/>
      <c r="AF17" s="82"/>
      <c r="AG17" s="82"/>
      <c r="AH17" s="91"/>
      <c r="AI17" s="91"/>
      <c r="AJ17" s="91"/>
      <c r="AK17" s="91"/>
      <c r="AL17" s="82"/>
      <c r="AM17" s="82"/>
      <c r="AN17" s="82"/>
      <c r="AO17" s="82"/>
      <c r="AP17" s="91"/>
      <c r="AQ17" s="91"/>
      <c r="AR17" s="91"/>
      <c r="AS17" s="91"/>
      <c r="AT17" s="82"/>
      <c r="AU17" s="82"/>
      <c r="AV17" s="82"/>
      <c r="AW17" s="82"/>
      <c r="AX17" s="91"/>
      <c r="AY17" s="91"/>
      <c r="AZ17" s="91"/>
      <c r="BA17" s="91"/>
      <c r="BB17" s="82"/>
      <c r="BC17" s="82"/>
      <c r="BD17" s="82"/>
      <c r="BE17" s="82"/>
      <c r="BF17" s="91"/>
      <c r="BG17" s="91"/>
      <c r="BH17" s="91"/>
      <c r="BI17" s="91"/>
      <c r="BJ17" s="82"/>
      <c r="BK17" s="82"/>
      <c r="BL17" s="82"/>
      <c r="BM17" s="82"/>
      <c r="BN17" s="91"/>
      <c r="BO17" s="91"/>
      <c r="BP17" s="91"/>
      <c r="BQ17" s="91"/>
      <c r="BR17" s="82"/>
      <c r="BS17" s="82"/>
      <c r="BT17" s="82"/>
      <c r="BU17" s="82"/>
      <c r="BV17" s="91"/>
      <c r="BW17" s="91"/>
      <c r="BX17" s="91"/>
      <c r="BY17" s="91"/>
      <c r="BZ17" s="82"/>
      <c r="CA17" s="82"/>
      <c r="CB17" s="82"/>
      <c r="CC17" s="82"/>
      <c r="CD17" s="91"/>
      <c r="CE17" s="91"/>
      <c r="CF17" s="91"/>
      <c r="CG17" s="91"/>
      <c r="CH17" s="82"/>
      <c r="CI17" s="82"/>
      <c r="CJ17" s="82"/>
      <c r="CK17" s="82"/>
      <c r="CL17" s="91"/>
      <c r="CM17" s="91"/>
      <c r="CN17" s="91"/>
      <c r="CO17" s="91"/>
      <c r="CP17" s="82"/>
      <c r="CQ17" s="82"/>
      <c r="CR17" s="82"/>
      <c r="CS17" s="82"/>
      <c r="CT17" s="91"/>
      <c r="CU17" s="91"/>
      <c r="CV17" s="91"/>
      <c r="CW17" s="91"/>
      <c r="CX17" s="82"/>
      <c r="CY17" s="82"/>
      <c r="CZ17" s="82"/>
      <c r="DA17" s="82"/>
      <c r="DB17" s="91">
        <v>76073.849545454548</v>
      </c>
      <c r="DC17" s="82">
        <v>152147.69909090904</v>
      </c>
      <c r="DD17" s="91"/>
      <c r="DE17" s="101"/>
    </row>
    <row r="18" spans="1:109" x14ac:dyDescent="0.2">
      <c r="A18" s="14">
        <v>10</v>
      </c>
      <c r="B18" s="28" t="s">
        <v>55</v>
      </c>
      <c r="C18" s="14" t="s">
        <v>672</v>
      </c>
      <c r="D18" s="22"/>
      <c r="E18" s="24"/>
      <c r="F18" s="82" t="s">
        <v>953</v>
      </c>
      <c r="G18" s="82" t="s">
        <v>658</v>
      </c>
      <c r="H18" s="82">
        <v>1</v>
      </c>
      <c r="I18" s="82">
        <v>76073.849545454548</v>
      </c>
      <c r="J18" s="91" t="s">
        <v>839</v>
      </c>
      <c r="K18" s="91" t="s">
        <v>657</v>
      </c>
      <c r="L18" s="91">
        <v>1</v>
      </c>
      <c r="M18" s="91">
        <v>76073.849545454505</v>
      </c>
      <c r="N18" s="82"/>
      <c r="O18" s="82"/>
      <c r="P18" s="82"/>
      <c r="Q18" s="82"/>
      <c r="R18" s="91"/>
      <c r="S18" s="91"/>
      <c r="T18" s="91"/>
      <c r="U18" s="91"/>
      <c r="V18" s="82"/>
      <c r="W18" s="82"/>
      <c r="X18" s="82"/>
      <c r="Y18" s="82"/>
      <c r="Z18" s="91"/>
      <c r="AA18" s="91"/>
      <c r="AB18" s="91"/>
      <c r="AC18" s="91"/>
      <c r="AD18" s="82"/>
      <c r="AE18" s="82"/>
      <c r="AF18" s="82"/>
      <c r="AG18" s="82"/>
      <c r="AH18" s="91"/>
      <c r="AI18" s="91"/>
      <c r="AJ18" s="91"/>
      <c r="AK18" s="91"/>
      <c r="AL18" s="82"/>
      <c r="AM18" s="82"/>
      <c r="AN18" s="82"/>
      <c r="AO18" s="82"/>
      <c r="AP18" s="91"/>
      <c r="AQ18" s="91"/>
      <c r="AR18" s="91"/>
      <c r="AS18" s="91"/>
      <c r="AT18" s="82"/>
      <c r="AU18" s="82"/>
      <c r="AV18" s="82"/>
      <c r="AW18" s="82"/>
      <c r="AX18" s="91"/>
      <c r="AY18" s="91"/>
      <c r="AZ18" s="91"/>
      <c r="BA18" s="91"/>
      <c r="BB18" s="82"/>
      <c r="BC18" s="82"/>
      <c r="BD18" s="82"/>
      <c r="BE18" s="82"/>
      <c r="BF18" s="91"/>
      <c r="BG18" s="91"/>
      <c r="BH18" s="91"/>
      <c r="BI18" s="91"/>
      <c r="BJ18" s="82"/>
      <c r="BK18" s="82"/>
      <c r="BL18" s="82"/>
      <c r="BM18" s="82"/>
      <c r="BN18" s="91"/>
      <c r="BO18" s="91"/>
      <c r="BP18" s="91"/>
      <c r="BQ18" s="91"/>
      <c r="BR18" s="82"/>
      <c r="BS18" s="82"/>
      <c r="BT18" s="82"/>
      <c r="BU18" s="82"/>
      <c r="BV18" s="91"/>
      <c r="BW18" s="91"/>
      <c r="BX18" s="91"/>
      <c r="BY18" s="91"/>
      <c r="BZ18" s="82"/>
      <c r="CA18" s="82"/>
      <c r="CB18" s="82"/>
      <c r="CC18" s="82"/>
      <c r="CD18" s="91"/>
      <c r="CE18" s="91"/>
      <c r="CF18" s="91"/>
      <c r="CG18" s="91"/>
      <c r="CH18" s="82"/>
      <c r="CI18" s="82"/>
      <c r="CJ18" s="82"/>
      <c r="CK18" s="82"/>
      <c r="CL18" s="91"/>
      <c r="CM18" s="91"/>
      <c r="CN18" s="91"/>
      <c r="CO18" s="91"/>
      <c r="CP18" s="82"/>
      <c r="CQ18" s="82"/>
      <c r="CR18" s="82"/>
      <c r="CS18" s="82"/>
      <c r="CT18" s="91"/>
      <c r="CU18" s="91"/>
      <c r="CV18" s="91"/>
      <c r="CW18" s="91"/>
      <c r="CX18" s="82"/>
      <c r="CY18" s="82"/>
      <c r="CZ18" s="82"/>
      <c r="DA18" s="82"/>
      <c r="DB18" s="91">
        <v>76073.849545454548</v>
      </c>
      <c r="DC18" s="82">
        <v>152147.69909090904</v>
      </c>
      <c r="DD18" s="91"/>
      <c r="DE18" s="101"/>
    </row>
    <row r="19" spans="1:109" x14ac:dyDescent="0.2">
      <c r="A19" s="14">
        <v>11</v>
      </c>
      <c r="B19" s="28" t="s">
        <v>59</v>
      </c>
      <c r="C19" s="14" t="s">
        <v>673</v>
      </c>
      <c r="D19" s="22"/>
      <c r="E19" s="24"/>
      <c r="F19" s="82" t="s">
        <v>941</v>
      </c>
      <c r="G19" s="82" t="s">
        <v>658</v>
      </c>
      <c r="H19" s="82">
        <v>1</v>
      </c>
      <c r="I19" s="82">
        <v>93629.353636363638</v>
      </c>
      <c r="J19" s="91"/>
      <c r="K19" s="91"/>
      <c r="L19" s="91"/>
      <c r="M19" s="91"/>
      <c r="N19" s="82"/>
      <c r="O19" s="82"/>
      <c r="P19" s="82"/>
      <c r="Q19" s="82"/>
      <c r="R19" s="91"/>
      <c r="S19" s="91"/>
      <c r="T19" s="91"/>
      <c r="U19" s="91"/>
      <c r="V19" s="82"/>
      <c r="W19" s="82"/>
      <c r="X19" s="82"/>
      <c r="Y19" s="82"/>
      <c r="Z19" s="91"/>
      <c r="AA19" s="91"/>
      <c r="AB19" s="91"/>
      <c r="AC19" s="91"/>
      <c r="AD19" s="82"/>
      <c r="AE19" s="82"/>
      <c r="AF19" s="82"/>
      <c r="AG19" s="82"/>
      <c r="AH19" s="91"/>
      <c r="AI19" s="91"/>
      <c r="AJ19" s="91"/>
      <c r="AK19" s="91"/>
      <c r="AL19" s="82"/>
      <c r="AM19" s="82"/>
      <c r="AN19" s="82"/>
      <c r="AO19" s="82"/>
      <c r="AP19" s="91"/>
      <c r="AQ19" s="91"/>
      <c r="AR19" s="91"/>
      <c r="AS19" s="91"/>
      <c r="AT19" s="82"/>
      <c r="AU19" s="82"/>
      <c r="AV19" s="82"/>
      <c r="AW19" s="82"/>
      <c r="AX19" s="91"/>
      <c r="AY19" s="91"/>
      <c r="AZ19" s="91"/>
      <c r="BA19" s="91"/>
      <c r="BB19" s="82"/>
      <c r="BC19" s="82"/>
      <c r="BD19" s="82"/>
      <c r="BE19" s="82"/>
      <c r="BF19" s="91"/>
      <c r="BG19" s="91"/>
      <c r="BH19" s="91"/>
      <c r="BI19" s="91"/>
      <c r="BJ19" s="82"/>
      <c r="BK19" s="82"/>
      <c r="BL19" s="82"/>
      <c r="BM19" s="82"/>
      <c r="BN19" s="91"/>
      <c r="BO19" s="91"/>
      <c r="BP19" s="91"/>
      <c r="BQ19" s="91"/>
      <c r="BR19" s="82"/>
      <c r="BS19" s="82"/>
      <c r="BT19" s="82"/>
      <c r="BU19" s="82"/>
      <c r="BV19" s="91"/>
      <c r="BW19" s="91"/>
      <c r="BX19" s="91"/>
      <c r="BY19" s="91"/>
      <c r="BZ19" s="82"/>
      <c r="CA19" s="82"/>
      <c r="CB19" s="82"/>
      <c r="CC19" s="82"/>
      <c r="CD19" s="91"/>
      <c r="CE19" s="91"/>
      <c r="CF19" s="91"/>
      <c r="CG19" s="91"/>
      <c r="CH19" s="82"/>
      <c r="CI19" s="82"/>
      <c r="CJ19" s="82"/>
      <c r="CK19" s="82"/>
      <c r="CL19" s="91"/>
      <c r="CM19" s="91"/>
      <c r="CN19" s="91"/>
      <c r="CO19" s="91"/>
      <c r="CP19" s="82"/>
      <c r="CQ19" s="82"/>
      <c r="CR19" s="82"/>
      <c r="CS19" s="82"/>
      <c r="CT19" s="91"/>
      <c r="CU19" s="91"/>
      <c r="CV19" s="91"/>
      <c r="CW19" s="91"/>
      <c r="CX19" s="82"/>
      <c r="CY19" s="82"/>
      <c r="CZ19" s="82"/>
      <c r="DA19" s="82"/>
      <c r="DB19" s="91">
        <v>93629.353636363638</v>
      </c>
      <c r="DC19" s="82">
        <v>93629.353636363638</v>
      </c>
      <c r="DD19" s="91"/>
      <c r="DE19" s="101"/>
    </row>
    <row r="20" spans="1:109" x14ac:dyDescent="0.2">
      <c r="A20" s="14">
        <v>12</v>
      </c>
      <c r="B20" s="28" t="s">
        <v>61</v>
      </c>
      <c r="C20" s="14" t="s">
        <v>674</v>
      </c>
      <c r="D20" s="22"/>
      <c r="E20" s="24"/>
      <c r="F20" s="82"/>
      <c r="G20" s="82"/>
      <c r="H20" s="82"/>
      <c r="I20" s="82"/>
      <c r="J20" s="91"/>
      <c r="K20" s="91"/>
      <c r="L20" s="91"/>
      <c r="M20" s="91"/>
      <c r="N20" s="82"/>
      <c r="O20" s="82"/>
      <c r="P20" s="82"/>
      <c r="Q20" s="82"/>
      <c r="R20" s="91"/>
      <c r="S20" s="91"/>
      <c r="T20" s="91"/>
      <c r="U20" s="91"/>
      <c r="V20" s="82"/>
      <c r="W20" s="82"/>
      <c r="X20" s="82"/>
      <c r="Y20" s="82"/>
      <c r="Z20" s="91"/>
      <c r="AA20" s="91"/>
      <c r="AB20" s="91"/>
      <c r="AC20" s="91"/>
      <c r="AD20" s="82"/>
      <c r="AE20" s="82"/>
      <c r="AF20" s="82"/>
      <c r="AG20" s="82"/>
      <c r="AH20" s="91"/>
      <c r="AI20" s="91"/>
      <c r="AJ20" s="91"/>
      <c r="AK20" s="91"/>
      <c r="AL20" s="82"/>
      <c r="AM20" s="82"/>
      <c r="AN20" s="82"/>
      <c r="AO20" s="82"/>
      <c r="AP20" s="91"/>
      <c r="AQ20" s="91"/>
      <c r="AR20" s="91"/>
      <c r="AS20" s="91"/>
      <c r="AT20" s="82"/>
      <c r="AU20" s="82"/>
      <c r="AV20" s="82"/>
      <c r="AW20" s="82"/>
      <c r="AX20" s="91"/>
      <c r="AY20" s="91"/>
      <c r="AZ20" s="91"/>
      <c r="BA20" s="91"/>
      <c r="BB20" s="82"/>
      <c r="BC20" s="82"/>
      <c r="BD20" s="82"/>
      <c r="BE20" s="82"/>
      <c r="BF20" s="91"/>
      <c r="BG20" s="91"/>
      <c r="BH20" s="91"/>
      <c r="BI20" s="91"/>
      <c r="BJ20" s="82"/>
      <c r="BK20" s="82"/>
      <c r="BL20" s="82"/>
      <c r="BM20" s="82"/>
      <c r="BN20" s="91"/>
      <c r="BO20" s="91"/>
      <c r="BP20" s="91"/>
      <c r="BQ20" s="91"/>
      <c r="BR20" s="82"/>
      <c r="BS20" s="82"/>
      <c r="BT20" s="82"/>
      <c r="BU20" s="82"/>
      <c r="BV20" s="91"/>
      <c r="BW20" s="91"/>
      <c r="BX20" s="91"/>
      <c r="BY20" s="91"/>
      <c r="BZ20" s="82"/>
      <c r="CA20" s="82"/>
      <c r="CB20" s="82"/>
      <c r="CC20" s="82"/>
      <c r="CD20" s="91"/>
      <c r="CE20" s="91"/>
      <c r="CF20" s="91"/>
      <c r="CG20" s="91"/>
      <c r="CH20" s="82"/>
      <c r="CI20" s="82"/>
      <c r="CJ20" s="82"/>
      <c r="CK20" s="82"/>
      <c r="CL20" s="91"/>
      <c r="CM20" s="91"/>
      <c r="CN20" s="91"/>
      <c r="CO20" s="91"/>
      <c r="CP20" s="82"/>
      <c r="CQ20" s="82"/>
      <c r="CR20" s="82"/>
      <c r="CS20" s="82"/>
      <c r="CT20" s="91"/>
      <c r="CU20" s="91"/>
      <c r="CV20" s="91"/>
      <c r="CW20" s="91"/>
      <c r="CX20" s="82"/>
      <c r="CY20" s="82"/>
      <c r="CZ20" s="82"/>
      <c r="DA20" s="82"/>
      <c r="DB20" s="91"/>
      <c r="DC20" s="82"/>
      <c r="DD20" s="91"/>
      <c r="DE20" s="101"/>
    </row>
    <row r="21" spans="1:109" x14ac:dyDescent="0.2">
      <c r="A21" s="14">
        <v>13</v>
      </c>
      <c r="B21" s="28" t="s">
        <v>318</v>
      </c>
      <c r="C21" s="14" t="s">
        <v>675</v>
      </c>
      <c r="D21" s="22"/>
      <c r="E21" s="24"/>
      <c r="F21" s="82"/>
      <c r="G21" s="82"/>
      <c r="H21" s="82"/>
      <c r="I21" s="82"/>
      <c r="J21" s="91"/>
      <c r="K21" s="91"/>
      <c r="L21" s="91"/>
      <c r="M21" s="91"/>
      <c r="N21" s="82"/>
      <c r="O21" s="82"/>
      <c r="P21" s="82"/>
      <c r="Q21" s="82"/>
      <c r="R21" s="91"/>
      <c r="S21" s="91"/>
      <c r="T21" s="91"/>
      <c r="U21" s="91"/>
      <c r="V21" s="82"/>
      <c r="W21" s="82"/>
      <c r="X21" s="82"/>
      <c r="Y21" s="82"/>
      <c r="Z21" s="91"/>
      <c r="AA21" s="91"/>
      <c r="AB21" s="91"/>
      <c r="AC21" s="91"/>
      <c r="AD21" s="82"/>
      <c r="AE21" s="82"/>
      <c r="AF21" s="82"/>
      <c r="AG21" s="82"/>
      <c r="AH21" s="91"/>
      <c r="AI21" s="91"/>
      <c r="AJ21" s="91"/>
      <c r="AK21" s="91"/>
      <c r="AL21" s="82"/>
      <c r="AM21" s="82"/>
      <c r="AN21" s="82"/>
      <c r="AO21" s="82"/>
      <c r="AP21" s="91"/>
      <c r="AQ21" s="91"/>
      <c r="AR21" s="91"/>
      <c r="AS21" s="91"/>
      <c r="AT21" s="82"/>
      <c r="AU21" s="82"/>
      <c r="AV21" s="82"/>
      <c r="AW21" s="82"/>
      <c r="AX21" s="91"/>
      <c r="AY21" s="91"/>
      <c r="AZ21" s="91"/>
      <c r="BA21" s="91"/>
      <c r="BB21" s="82"/>
      <c r="BC21" s="82"/>
      <c r="BD21" s="82"/>
      <c r="BE21" s="82"/>
      <c r="BF21" s="91"/>
      <c r="BG21" s="91"/>
      <c r="BH21" s="91"/>
      <c r="BI21" s="91"/>
      <c r="BJ21" s="82"/>
      <c r="BK21" s="82"/>
      <c r="BL21" s="82"/>
      <c r="BM21" s="82"/>
      <c r="BN21" s="91"/>
      <c r="BO21" s="91"/>
      <c r="BP21" s="91"/>
      <c r="BQ21" s="91"/>
      <c r="BR21" s="82"/>
      <c r="BS21" s="82"/>
      <c r="BT21" s="82"/>
      <c r="BU21" s="82"/>
      <c r="BV21" s="91"/>
      <c r="BW21" s="91"/>
      <c r="BX21" s="91"/>
      <c r="BY21" s="91"/>
      <c r="BZ21" s="82"/>
      <c r="CA21" s="82"/>
      <c r="CB21" s="82"/>
      <c r="CC21" s="82"/>
      <c r="CD21" s="91"/>
      <c r="CE21" s="91"/>
      <c r="CF21" s="91"/>
      <c r="CG21" s="91"/>
      <c r="CH21" s="82"/>
      <c r="CI21" s="82"/>
      <c r="CJ21" s="82"/>
      <c r="CK21" s="82"/>
      <c r="CL21" s="91"/>
      <c r="CM21" s="91"/>
      <c r="CN21" s="91"/>
      <c r="CO21" s="91"/>
      <c r="CP21" s="82"/>
      <c r="CQ21" s="82"/>
      <c r="CR21" s="82"/>
      <c r="CS21" s="82"/>
      <c r="CT21" s="91"/>
      <c r="CU21" s="91"/>
      <c r="CV21" s="91"/>
      <c r="CW21" s="91"/>
      <c r="CX21" s="82"/>
      <c r="CY21" s="82"/>
      <c r="CZ21" s="82"/>
      <c r="DA21" s="82"/>
      <c r="DB21" s="91"/>
      <c r="DC21" s="82"/>
      <c r="DD21" s="91"/>
      <c r="DE21" s="101"/>
    </row>
    <row r="22" spans="1:109" x14ac:dyDescent="0.2">
      <c r="A22" s="14">
        <v>14</v>
      </c>
      <c r="B22" s="28" t="s">
        <v>319</v>
      </c>
      <c r="C22" s="14" t="s">
        <v>676</v>
      </c>
      <c r="D22" s="22"/>
      <c r="E22" s="24"/>
      <c r="F22" s="82" t="s">
        <v>957</v>
      </c>
      <c r="G22" s="82" t="s">
        <v>662</v>
      </c>
      <c r="H22" s="82">
        <v>0.625</v>
      </c>
      <c r="I22" s="82">
        <v>51203.552556818184</v>
      </c>
      <c r="J22" s="91" t="s">
        <v>966</v>
      </c>
      <c r="K22" s="91" t="s">
        <v>662</v>
      </c>
      <c r="L22" s="91">
        <v>0.66250000000000009</v>
      </c>
      <c r="M22" s="91">
        <v>54275.765710227286</v>
      </c>
      <c r="N22" s="82"/>
      <c r="O22" s="82"/>
      <c r="P22" s="82"/>
      <c r="Q22" s="82"/>
      <c r="R22" s="91"/>
      <c r="S22" s="91"/>
      <c r="T22" s="91"/>
      <c r="U22" s="91"/>
      <c r="V22" s="82"/>
      <c r="W22" s="82"/>
      <c r="X22" s="82"/>
      <c r="Y22" s="82"/>
      <c r="Z22" s="91"/>
      <c r="AA22" s="91"/>
      <c r="AB22" s="91"/>
      <c r="AC22" s="91"/>
      <c r="AD22" s="82"/>
      <c r="AE22" s="82"/>
      <c r="AF22" s="82"/>
      <c r="AG22" s="82"/>
      <c r="AH22" s="91"/>
      <c r="AI22" s="91"/>
      <c r="AJ22" s="91"/>
      <c r="AK22" s="91"/>
      <c r="AL22" s="82"/>
      <c r="AM22" s="82"/>
      <c r="AN22" s="82"/>
      <c r="AO22" s="82"/>
      <c r="AP22" s="91"/>
      <c r="AQ22" s="91"/>
      <c r="AR22" s="91"/>
      <c r="AS22" s="91"/>
      <c r="AT22" s="82"/>
      <c r="AU22" s="82"/>
      <c r="AV22" s="82"/>
      <c r="AW22" s="82"/>
      <c r="AX22" s="91"/>
      <c r="AY22" s="91"/>
      <c r="AZ22" s="91"/>
      <c r="BA22" s="91"/>
      <c r="BB22" s="82"/>
      <c r="BC22" s="82"/>
      <c r="BD22" s="82"/>
      <c r="BE22" s="82"/>
      <c r="BF22" s="91"/>
      <c r="BG22" s="91"/>
      <c r="BH22" s="91"/>
      <c r="BI22" s="91"/>
      <c r="BJ22" s="82"/>
      <c r="BK22" s="82"/>
      <c r="BL22" s="82"/>
      <c r="BM22" s="82"/>
      <c r="BN22" s="91"/>
      <c r="BO22" s="91"/>
      <c r="BP22" s="91"/>
      <c r="BQ22" s="91"/>
      <c r="BR22" s="82"/>
      <c r="BS22" s="82"/>
      <c r="BT22" s="82"/>
      <c r="BU22" s="82"/>
      <c r="BV22" s="91"/>
      <c r="BW22" s="91"/>
      <c r="BX22" s="91"/>
      <c r="BY22" s="91"/>
      <c r="BZ22" s="82"/>
      <c r="CA22" s="82"/>
      <c r="CB22" s="82"/>
      <c r="CC22" s="82"/>
      <c r="CD22" s="91"/>
      <c r="CE22" s="91"/>
      <c r="CF22" s="91"/>
      <c r="CG22" s="91"/>
      <c r="CH22" s="82"/>
      <c r="CI22" s="82"/>
      <c r="CJ22" s="82"/>
      <c r="CK22" s="82"/>
      <c r="CL22" s="91"/>
      <c r="CM22" s="91"/>
      <c r="CN22" s="91"/>
      <c r="CO22" s="91"/>
      <c r="CP22" s="82"/>
      <c r="CQ22" s="82"/>
      <c r="CR22" s="82"/>
      <c r="CS22" s="82"/>
      <c r="CT22" s="91"/>
      <c r="CU22" s="91"/>
      <c r="CV22" s="91"/>
      <c r="CW22" s="91"/>
      <c r="CX22" s="82"/>
      <c r="CY22" s="82"/>
      <c r="CZ22" s="82"/>
      <c r="DA22" s="82"/>
      <c r="DB22" s="91">
        <v>81925.684090909097</v>
      </c>
      <c r="DC22" s="82">
        <v>105479.31826704547</v>
      </c>
      <c r="DD22" s="91"/>
      <c r="DE22" s="101"/>
    </row>
    <row r="23" spans="1:109" x14ac:dyDescent="0.2">
      <c r="A23" s="14">
        <v>15</v>
      </c>
      <c r="B23" s="28" t="s">
        <v>320</v>
      </c>
      <c r="C23" s="14" t="s">
        <v>677</v>
      </c>
      <c r="D23" s="22"/>
      <c r="E23" s="24"/>
      <c r="F23" s="82" t="s">
        <v>957</v>
      </c>
      <c r="G23" s="82" t="s">
        <v>662</v>
      </c>
      <c r="H23" s="82">
        <v>1</v>
      </c>
      <c r="I23" s="82">
        <v>76073.849545454548</v>
      </c>
      <c r="J23" s="91" t="s">
        <v>949</v>
      </c>
      <c r="K23" s="91" t="s">
        <v>657</v>
      </c>
      <c r="L23" s="91">
        <v>1</v>
      </c>
      <c r="M23" s="91">
        <v>76073.849545454505</v>
      </c>
      <c r="N23" s="82"/>
      <c r="O23" s="82"/>
      <c r="P23" s="82"/>
      <c r="Q23" s="82"/>
      <c r="R23" s="91"/>
      <c r="S23" s="91"/>
      <c r="T23" s="91"/>
      <c r="U23" s="91"/>
      <c r="V23" s="82"/>
      <c r="W23" s="82"/>
      <c r="X23" s="82"/>
      <c r="Y23" s="82"/>
      <c r="Z23" s="91"/>
      <c r="AA23" s="91"/>
      <c r="AB23" s="91"/>
      <c r="AC23" s="91"/>
      <c r="AD23" s="82"/>
      <c r="AE23" s="82"/>
      <c r="AF23" s="82"/>
      <c r="AG23" s="82"/>
      <c r="AH23" s="91"/>
      <c r="AI23" s="91"/>
      <c r="AJ23" s="91"/>
      <c r="AK23" s="91"/>
      <c r="AL23" s="82"/>
      <c r="AM23" s="82"/>
      <c r="AN23" s="82"/>
      <c r="AO23" s="82"/>
      <c r="AP23" s="91"/>
      <c r="AQ23" s="91"/>
      <c r="AR23" s="91"/>
      <c r="AS23" s="91"/>
      <c r="AT23" s="82"/>
      <c r="AU23" s="82"/>
      <c r="AV23" s="82"/>
      <c r="AW23" s="82"/>
      <c r="AX23" s="91"/>
      <c r="AY23" s="91"/>
      <c r="AZ23" s="91"/>
      <c r="BA23" s="91"/>
      <c r="BB23" s="82"/>
      <c r="BC23" s="82"/>
      <c r="BD23" s="82"/>
      <c r="BE23" s="82"/>
      <c r="BF23" s="91"/>
      <c r="BG23" s="91"/>
      <c r="BH23" s="91"/>
      <c r="BI23" s="91"/>
      <c r="BJ23" s="82"/>
      <c r="BK23" s="82"/>
      <c r="BL23" s="82"/>
      <c r="BM23" s="82"/>
      <c r="BN23" s="91"/>
      <c r="BO23" s="91"/>
      <c r="BP23" s="91"/>
      <c r="BQ23" s="91"/>
      <c r="BR23" s="82"/>
      <c r="BS23" s="82"/>
      <c r="BT23" s="82"/>
      <c r="BU23" s="82"/>
      <c r="BV23" s="91"/>
      <c r="BW23" s="91"/>
      <c r="BX23" s="91"/>
      <c r="BY23" s="91"/>
      <c r="BZ23" s="82"/>
      <c r="CA23" s="82"/>
      <c r="CB23" s="82"/>
      <c r="CC23" s="82"/>
      <c r="CD23" s="91"/>
      <c r="CE23" s="91"/>
      <c r="CF23" s="91"/>
      <c r="CG23" s="91"/>
      <c r="CH23" s="82"/>
      <c r="CI23" s="82"/>
      <c r="CJ23" s="82"/>
      <c r="CK23" s="82"/>
      <c r="CL23" s="91"/>
      <c r="CM23" s="91"/>
      <c r="CN23" s="91"/>
      <c r="CO23" s="91"/>
      <c r="CP23" s="82"/>
      <c r="CQ23" s="82"/>
      <c r="CR23" s="82"/>
      <c r="CS23" s="82"/>
      <c r="CT23" s="91"/>
      <c r="CU23" s="91"/>
      <c r="CV23" s="91"/>
      <c r="CW23" s="91"/>
      <c r="CX23" s="82"/>
      <c r="CY23" s="82"/>
      <c r="CZ23" s="82"/>
      <c r="DA23" s="82"/>
      <c r="DB23" s="91">
        <v>76073.849545454548</v>
      </c>
      <c r="DC23" s="82">
        <v>152147.69909090904</v>
      </c>
      <c r="DD23" s="91"/>
      <c r="DE23" s="101"/>
    </row>
    <row r="24" spans="1:109" x14ac:dyDescent="0.2">
      <c r="A24" s="14">
        <v>16</v>
      </c>
      <c r="B24" s="28" t="s">
        <v>321</v>
      </c>
      <c r="C24" s="14" t="s">
        <v>678</v>
      </c>
      <c r="D24" s="22"/>
      <c r="E24" s="24"/>
      <c r="F24" s="82" t="s">
        <v>943</v>
      </c>
      <c r="G24" s="82" t="s">
        <v>662</v>
      </c>
      <c r="H24" s="82">
        <v>1</v>
      </c>
      <c r="I24" s="82">
        <v>67881.272727272721</v>
      </c>
      <c r="J24" s="91" t="s">
        <v>948</v>
      </c>
      <c r="K24" s="91" t="s">
        <v>662</v>
      </c>
      <c r="L24" s="91">
        <v>1</v>
      </c>
      <c r="M24" s="91">
        <v>67881.272727272706</v>
      </c>
      <c r="N24" s="82" t="s">
        <v>965</v>
      </c>
      <c r="O24" s="82" t="s">
        <v>662</v>
      </c>
      <c r="P24" s="82">
        <v>1</v>
      </c>
      <c r="Q24" s="82">
        <v>67881.272727272706</v>
      </c>
      <c r="R24" s="91" t="s">
        <v>950</v>
      </c>
      <c r="S24" s="91" t="s">
        <v>658</v>
      </c>
      <c r="T24" s="91">
        <v>1</v>
      </c>
      <c r="U24" s="91">
        <v>67881.272727272706</v>
      </c>
      <c r="V24" s="82" t="s">
        <v>941</v>
      </c>
      <c r="W24" s="82" t="s">
        <v>658</v>
      </c>
      <c r="X24" s="82">
        <v>1</v>
      </c>
      <c r="Y24" s="82">
        <v>67881.272727272721</v>
      </c>
      <c r="Z24" s="91"/>
      <c r="AA24" s="91"/>
      <c r="AB24" s="91"/>
      <c r="AC24" s="91"/>
      <c r="AD24" s="82"/>
      <c r="AE24" s="82"/>
      <c r="AF24" s="82"/>
      <c r="AG24" s="82"/>
      <c r="AH24" s="91"/>
      <c r="AI24" s="91"/>
      <c r="AJ24" s="91"/>
      <c r="AK24" s="91"/>
      <c r="AL24" s="82"/>
      <c r="AM24" s="82"/>
      <c r="AN24" s="82"/>
      <c r="AO24" s="82"/>
      <c r="AP24" s="91"/>
      <c r="AQ24" s="91"/>
      <c r="AR24" s="91"/>
      <c r="AS24" s="91"/>
      <c r="AT24" s="82"/>
      <c r="AU24" s="82"/>
      <c r="AV24" s="82"/>
      <c r="AW24" s="82"/>
      <c r="AX24" s="91"/>
      <c r="AY24" s="91"/>
      <c r="AZ24" s="91"/>
      <c r="BA24" s="91"/>
      <c r="BB24" s="82"/>
      <c r="BC24" s="82"/>
      <c r="BD24" s="82"/>
      <c r="BE24" s="82"/>
      <c r="BF24" s="91"/>
      <c r="BG24" s="91"/>
      <c r="BH24" s="91"/>
      <c r="BI24" s="91"/>
      <c r="BJ24" s="82"/>
      <c r="BK24" s="82"/>
      <c r="BL24" s="82"/>
      <c r="BM24" s="82"/>
      <c r="BN24" s="91"/>
      <c r="BO24" s="91"/>
      <c r="BP24" s="91"/>
      <c r="BQ24" s="91"/>
      <c r="BR24" s="82"/>
      <c r="BS24" s="82"/>
      <c r="BT24" s="82"/>
      <c r="BU24" s="82"/>
      <c r="BV24" s="91"/>
      <c r="BW24" s="91"/>
      <c r="BX24" s="91"/>
      <c r="BY24" s="91"/>
      <c r="BZ24" s="82"/>
      <c r="CA24" s="82"/>
      <c r="CB24" s="82"/>
      <c r="CC24" s="82"/>
      <c r="CD24" s="91"/>
      <c r="CE24" s="91"/>
      <c r="CF24" s="91"/>
      <c r="CG24" s="91"/>
      <c r="CH24" s="82"/>
      <c r="CI24" s="82"/>
      <c r="CJ24" s="82"/>
      <c r="CK24" s="82"/>
      <c r="CL24" s="91"/>
      <c r="CM24" s="91"/>
      <c r="CN24" s="91"/>
      <c r="CO24" s="91"/>
      <c r="CP24" s="82"/>
      <c r="CQ24" s="82"/>
      <c r="CR24" s="82"/>
      <c r="CS24" s="82"/>
      <c r="CT24" s="91"/>
      <c r="CU24" s="91"/>
      <c r="CV24" s="91"/>
      <c r="CW24" s="91"/>
      <c r="CX24" s="82"/>
      <c r="CY24" s="82"/>
      <c r="CZ24" s="82"/>
      <c r="DA24" s="82"/>
      <c r="DB24" s="91">
        <v>67881.272727272721</v>
      </c>
      <c r="DC24" s="82">
        <v>339406.36363636353</v>
      </c>
      <c r="DD24" s="91"/>
      <c r="DE24" s="101"/>
    </row>
    <row r="25" spans="1:109" x14ac:dyDescent="0.2">
      <c r="A25" s="14">
        <v>17</v>
      </c>
      <c r="B25" s="28" t="s">
        <v>322</v>
      </c>
      <c r="C25" s="14" t="s">
        <v>679</v>
      </c>
      <c r="D25" s="22"/>
      <c r="E25" s="24"/>
      <c r="F25" s="82"/>
      <c r="G25" s="82"/>
      <c r="H25" s="82"/>
      <c r="I25" s="82"/>
      <c r="J25" s="91"/>
      <c r="K25" s="91"/>
      <c r="L25" s="91"/>
      <c r="M25" s="91"/>
      <c r="N25" s="82"/>
      <c r="O25" s="82"/>
      <c r="P25" s="82"/>
      <c r="Q25" s="82"/>
      <c r="R25" s="91"/>
      <c r="S25" s="91"/>
      <c r="T25" s="91"/>
      <c r="U25" s="91"/>
      <c r="V25" s="82"/>
      <c r="W25" s="82"/>
      <c r="X25" s="82"/>
      <c r="Y25" s="82"/>
      <c r="Z25" s="91"/>
      <c r="AA25" s="91"/>
      <c r="AB25" s="91"/>
      <c r="AC25" s="91"/>
      <c r="AD25" s="82"/>
      <c r="AE25" s="82"/>
      <c r="AF25" s="82"/>
      <c r="AG25" s="82"/>
      <c r="AH25" s="91"/>
      <c r="AI25" s="91"/>
      <c r="AJ25" s="91"/>
      <c r="AK25" s="91"/>
      <c r="AL25" s="82"/>
      <c r="AM25" s="82"/>
      <c r="AN25" s="82"/>
      <c r="AO25" s="82"/>
      <c r="AP25" s="91"/>
      <c r="AQ25" s="91"/>
      <c r="AR25" s="91"/>
      <c r="AS25" s="91"/>
      <c r="AT25" s="82"/>
      <c r="AU25" s="82"/>
      <c r="AV25" s="82"/>
      <c r="AW25" s="82"/>
      <c r="AX25" s="91"/>
      <c r="AY25" s="91"/>
      <c r="AZ25" s="91"/>
      <c r="BA25" s="91"/>
      <c r="BB25" s="82"/>
      <c r="BC25" s="82"/>
      <c r="BD25" s="82"/>
      <c r="BE25" s="82"/>
      <c r="BF25" s="91"/>
      <c r="BG25" s="91"/>
      <c r="BH25" s="91"/>
      <c r="BI25" s="91"/>
      <c r="BJ25" s="82"/>
      <c r="BK25" s="82"/>
      <c r="BL25" s="82"/>
      <c r="BM25" s="82"/>
      <c r="BN25" s="91"/>
      <c r="BO25" s="91"/>
      <c r="BP25" s="91"/>
      <c r="BQ25" s="91"/>
      <c r="BR25" s="82"/>
      <c r="BS25" s="82"/>
      <c r="BT25" s="82"/>
      <c r="BU25" s="82"/>
      <c r="BV25" s="91"/>
      <c r="BW25" s="91"/>
      <c r="BX25" s="91"/>
      <c r="BY25" s="91"/>
      <c r="BZ25" s="82"/>
      <c r="CA25" s="82"/>
      <c r="CB25" s="82"/>
      <c r="CC25" s="82"/>
      <c r="CD25" s="91"/>
      <c r="CE25" s="91"/>
      <c r="CF25" s="91"/>
      <c r="CG25" s="91"/>
      <c r="CH25" s="82"/>
      <c r="CI25" s="82"/>
      <c r="CJ25" s="82"/>
      <c r="CK25" s="82"/>
      <c r="CL25" s="91"/>
      <c r="CM25" s="91"/>
      <c r="CN25" s="91"/>
      <c r="CO25" s="91"/>
      <c r="CP25" s="82"/>
      <c r="CQ25" s="82"/>
      <c r="CR25" s="82"/>
      <c r="CS25" s="82"/>
      <c r="CT25" s="91"/>
      <c r="CU25" s="91"/>
      <c r="CV25" s="91"/>
      <c r="CW25" s="91"/>
      <c r="CX25" s="82"/>
      <c r="CY25" s="82"/>
      <c r="CZ25" s="82"/>
      <c r="DA25" s="82"/>
      <c r="DB25" s="91"/>
      <c r="DC25" s="82"/>
      <c r="DD25" s="91"/>
      <c r="DE25" s="101"/>
    </row>
    <row r="26" spans="1:109" x14ac:dyDescent="0.2">
      <c r="A26" s="14">
        <v>18</v>
      </c>
      <c r="B26" s="28" t="s">
        <v>323</v>
      </c>
      <c r="C26" s="14" t="s">
        <v>680</v>
      </c>
      <c r="D26" s="22"/>
      <c r="E26" s="24"/>
      <c r="F26" s="82" t="s">
        <v>961</v>
      </c>
      <c r="G26" s="82" t="s">
        <v>662</v>
      </c>
      <c r="H26" s="82">
        <v>1</v>
      </c>
      <c r="I26" s="82">
        <v>67881.272727272721</v>
      </c>
      <c r="J26" s="91" t="s">
        <v>946</v>
      </c>
      <c r="K26" s="91" t="s">
        <v>662</v>
      </c>
      <c r="L26" s="91">
        <v>1</v>
      </c>
      <c r="M26" s="91">
        <v>67881.272727272706</v>
      </c>
      <c r="N26" s="82"/>
      <c r="O26" s="82"/>
      <c r="P26" s="82"/>
      <c r="Q26" s="82"/>
      <c r="R26" s="91"/>
      <c r="S26" s="91"/>
      <c r="T26" s="91"/>
      <c r="U26" s="91"/>
      <c r="V26" s="82"/>
      <c r="W26" s="82"/>
      <c r="X26" s="82"/>
      <c r="Y26" s="82"/>
      <c r="Z26" s="91"/>
      <c r="AA26" s="91"/>
      <c r="AB26" s="91"/>
      <c r="AC26" s="91"/>
      <c r="AD26" s="82"/>
      <c r="AE26" s="82"/>
      <c r="AF26" s="82"/>
      <c r="AG26" s="82"/>
      <c r="AH26" s="91"/>
      <c r="AI26" s="91"/>
      <c r="AJ26" s="91"/>
      <c r="AK26" s="91"/>
      <c r="AL26" s="82"/>
      <c r="AM26" s="82"/>
      <c r="AN26" s="82"/>
      <c r="AO26" s="82"/>
      <c r="AP26" s="91"/>
      <c r="AQ26" s="91"/>
      <c r="AR26" s="91"/>
      <c r="AS26" s="91"/>
      <c r="AT26" s="82"/>
      <c r="AU26" s="82"/>
      <c r="AV26" s="82"/>
      <c r="AW26" s="82"/>
      <c r="AX26" s="91"/>
      <c r="AY26" s="91"/>
      <c r="AZ26" s="91"/>
      <c r="BA26" s="91"/>
      <c r="BB26" s="82"/>
      <c r="BC26" s="82"/>
      <c r="BD26" s="82"/>
      <c r="BE26" s="82"/>
      <c r="BF26" s="91"/>
      <c r="BG26" s="91"/>
      <c r="BH26" s="91"/>
      <c r="BI26" s="91"/>
      <c r="BJ26" s="82"/>
      <c r="BK26" s="82"/>
      <c r="BL26" s="82"/>
      <c r="BM26" s="82"/>
      <c r="BN26" s="91"/>
      <c r="BO26" s="91"/>
      <c r="BP26" s="91"/>
      <c r="BQ26" s="91"/>
      <c r="BR26" s="82"/>
      <c r="BS26" s="82"/>
      <c r="BT26" s="82"/>
      <c r="BU26" s="82"/>
      <c r="BV26" s="91"/>
      <c r="BW26" s="91"/>
      <c r="BX26" s="91"/>
      <c r="BY26" s="91"/>
      <c r="BZ26" s="82"/>
      <c r="CA26" s="82"/>
      <c r="CB26" s="82"/>
      <c r="CC26" s="82"/>
      <c r="CD26" s="91"/>
      <c r="CE26" s="91"/>
      <c r="CF26" s="91"/>
      <c r="CG26" s="91"/>
      <c r="CH26" s="82"/>
      <c r="CI26" s="82"/>
      <c r="CJ26" s="82"/>
      <c r="CK26" s="82"/>
      <c r="CL26" s="91"/>
      <c r="CM26" s="91"/>
      <c r="CN26" s="91"/>
      <c r="CO26" s="91"/>
      <c r="CP26" s="82"/>
      <c r="CQ26" s="82"/>
      <c r="CR26" s="82"/>
      <c r="CS26" s="82"/>
      <c r="CT26" s="91"/>
      <c r="CU26" s="91"/>
      <c r="CV26" s="91"/>
      <c r="CW26" s="91"/>
      <c r="CX26" s="82"/>
      <c r="CY26" s="82"/>
      <c r="CZ26" s="82"/>
      <c r="DA26" s="82"/>
      <c r="DB26" s="91">
        <v>67881.272727272721</v>
      </c>
      <c r="DC26" s="82">
        <v>135762.54545454541</v>
      </c>
      <c r="DD26" s="91"/>
      <c r="DE26" s="101"/>
    </row>
    <row r="27" spans="1:109" x14ac:dyDescent="0.2">
      <c r="A27" s="14">
        <v>19</v>
      </c>
      <c r="B27" s="28" t="s">
        <v>324</v>
      </c>
      <c r="C27" s="14" t="s">
        <v>681</v>
      </c>
      <c r="D27" s="22"/>
      <c r="E27" s="24"/>
      <c r="F27" s="82" t="s">
        <v>963</v>
      </c>
      <c r="G27" s="82" t="s">
        <v>658</v>
      </c>
      <c r="H27" s="82">
        <v>1</v>
      </c>
      <c r="I27" s="82">
        <v>67881.272727272721</v>
      </c>
      <c r="J27" s="91" t="s">
        <v>944</v>
      </c>
      <c r="K27" s="91" t="s">
        <v>662</v>
      </c>
      <c r="L27" s="91">
        <v>1</v>
      </c>
      <c r="M27" s="91">
        <v>67881.272727272706</v>
      </c>
      <c r="N27" s="82" t="s">
        <v>952</v>
      </c>
      <c r="O27" s="82" t="s">
        <v>662</v>
      </c>
      <c r="P27" s="82">
        <v>1</v>
      </c>
      <c r="Q27" s="82">
        <v>67881.272727272721</v>
      </c>
      <c r="R27" s="91"/>
      <c r="S27" s="91"/>
      <c r="T27" s="91"/>
      <c r="U27" s="91"/>
      <c r="V27" s="82"/>
      <c r="W27" s="82"/>
      <c r="X27" s="82"/>
      <c r="Y27" s="82"/>
      <c r="Z27" s="91"/>
      <c r="AA27" s="91"/>
      <c r="AB27" s="91"/>
      <c r="AC27" s="91"/>
      <c r="AD27" s="82"/>
      <c r="AE27" s="82"/>
      <c r="AF27" s="82"/>
      <c r="AG27" s="82"/>
      <c r="AH27" s="91"/>
      <c r="AI27" s="91"/>
      <c r="AJ27" s="91"/>
      <c r="AK27" s="91"/>
      <c r="AL27" s="82"/>
      <c r="AM27" s="82"/>
      <c r="AN27" s="82"/>
      <c r="AO27" s="82"/>
      <c r="AP27" s="91"/>
      <c r="AQ27" s="91"/>
      <c r="AR27" s="91"/>
      <c r="AS27" s="91"/>
      <c r="AT27" s="82"/>
      <c r="AU27" s="82"/>
      <c r="AV27" s="82"/>
      <c r="AW27" s="82"/>
      <c r="AX27" s="91"/>
      <c r="AY27" s="91"/>
      <c r="AZ27" s="91"/>
      <c r="BA27" s="91"/>
      <c r="BB27" s="82"/>
      <c r="BC27" s="82"/>
      <c r="BD27" s="82"/>
      <c r="BE27" s="82"/>
      <c r="BF27" s="91"/>
      <c r="BG27" s="91"/>
      <c r="BH27" s="91"/>
      <c r="BI27" s="91"/>
      <c r="BJ27" s="82"/>
      <c r="BK27" s="82"/>
      <c r="BL27" s="82"/>
      <c r="BM27" s="82"/>
      <c r="BN27" s="91"/>
      <c r="BO27" s="91"/>
      <c r="BP27" s="91"/>
      <c r="BQ27" s="91"/>
      <c r="BR27" s="82"/>
      <c r="BS27" s="82"/>
      <c r="BT27" s="82"/>
      <c r="BU27" s="82"/>
      <c r="BV27" s="91"/>
      <c r="BW27" s="91"/>
      <c r="BX27" s="91"/>
      <c r="BY27" s="91"/>
      <c r="BZ27" s="82"/>
      <c r="CA27" s="82"/>
      <c r="CB27" s="82"/>
      <c r="CC27" s="82"/>
      <c r="CD27" s="91"/>
      <c r="CE27" s="91"/>
      <c r="CF27" s="91"/>
      <c r="CG27" s="91"/>
      <c r="CH27" s="82"/>
      <c r="CI27" s="82"/>
      <c r="CJ27" s="82"/>
      <c r="CK27" s="82"/>
      <c r="CL27" s="91"/>
      <c r="CM27" s="91"/>
      <c r="CN27" s="91"/>
      <c r="CO27" s="91"/>
      <c r="CP27" s="82"/>
      <c r="CQ27" s="82"/>
      <c r="CR27" s="82"/>
      <c r="CS27" s="82"/>
      <c r="CT27" s="91"/>
      <c r="CU27" s="91"/>
      <c r="CV27" s="91"/>
      <c r="CW27" s="91"/>
      <c r="CX27" s="82"/>
      <c r="CY27" s="82"/>
      <c r="CZ27" s="82"/>
      <c r="DA27" s="82"/>
      <c r="DB27" s="91">
        <v>67881.272727272721</v>
      </c>
      <c r="DC27" s="82">
        <v>203643.81818181812</v>
      </c>
      <c r="DD27" s="91"/>
      <c r="DE27" s="101"/>
    </row>
    <row r="28" spans="1:109" x14ac:dyDescent="0.2">
      <c r="A28" s="14">
        <v>20</v>
      </c>
      <c r="B28" s="28" t="s">
        <v>326</v>
      </c>
      <c r="C28" s="14" t="s">
        <v>682</v>
      </c>
      <c r="D28" s="22"/>
      <c r="E28" s="24"/>
      <c r="F28" s="82" t="s">
        <v>942</v>
      </c>
      <c r="G28" s="82" t="s">
        <v>657</v>
      </c>
      <c r="H28" s="82">
        <v>1</v>
      </c>
      <c r="I28" s="82">
        <v>76073.849545454548</v>
      </c>
      <c r="J28" s="91" t="s">
        <v>962</v>
      </c>
      <c r="K28" s="91" t="s">
        <v>657</v>
      </c>
      <c r="L28" s="91">
        <v>1</v>
      </c>
      <c r="M28" s="91">
        <v>76073.849545454548</v>
      </c>
      <c r="N28" s="82" t="s">
        <v>951</v>
      </c>
      <c r="O28" s="82" t="s">
        <v>657</v>
      </c>
      <c r="P28" s="82">
        <v>1</v>
      </c>
      <c r="Q28" s="82">
        <v>76073.849545454548</v>
      </c>
      <c r="R28" s="91" t="s">
        <v>961</v>
      </c>
      <c r="S28" s="91" t="s">
        <v>658</v>
      </c>
      <c r="T28" s="91">
        <v>1</v>
      </c>
      <c r="U28" s="91">
        <v>76073.849545454548</v>
      </c>
      <c r="V28" s="82"/>
      <c r="W28" s="82"/>
      <c r="X28" s="82"/>
      <c r="Y28" s="82"/>
      <c r="Z28" s="91"/>
      <c r="AA28" s="91"/>
      <c r="AB28" s="91"/>
      <c r="AC28" s="91"/>
      <c r="AD28" s="82"/>
      <c r="AE28" s="82"/>
      <c r="AF28" s="82"/>
      <c r="AG28" s="82"/>
      <c r="AH28" s="91"/>
      <c r="AI28" s="91"/>
      <c r="AJ28" s="91"/>
      <c r="AK28" s="91"/>
      <c r="AL28" s="82"/>
      <c r="AM28" s="82"/>
      <c r="AN28" s="82"/>
      <c r="AO28" s="82"/>
      <c r="AP28" s="91"/>
      <c r="AQ28" s="91"/>
      <c r="AR28" s="91"/>
      <c r="AS28" s="91"/>
      <c r="AT28" s="82"/>
      <c r="AU28" s="82"/>
      <c r="AV28" s="82"/>
      <c r="AW28" s="82"/>
      <c r="AX28" s="91"/>
      <c r="AY28" s="91"/>
      <c r="AZ28" s="91"/>
      <c r="BA28" s="91"/>
      <c r="BB28" s="82"/>
      <c r="BC28" s="82"/>
      <c r="BD28" s="82"/>
      <c r="BE28" s="82"/>
      <c r="BF28" s="91"/>
      <c r="BG28" s="91"/>
      <c r="BH28" s="91"/>
      <c r="BI28" s="91"/>
      <c r="BJ28" s="82"/>
      <c r="BK28" s="82"/>
      <c r="BL28" s="82"/>
      <c r="BM28" s="82"/>
      <c r="BN28" s="91"/>
      <c r="BO28" s="91"/>
      <c r="BP28" s="91"/>
      <c r="BQ28" s="91"/>
      <c r="BR28" s="82"/>
      <c r="BS28" s="82"/>
      <c r="BT28" s="82"/>
      <c r="BU28" s="82"/>
      <c r="BV28" s="91"/>
      <c r="BW28" s="91"/>
      <c r="BX28" s="91"/>
      <c r="BY28" s="91"/>
      <c r="BZ28" s="82"/>
      <c r="CA28" s="82"/>
      <c r="CB28" s="82"/>
      <c r="CC28" s="82"/>
      <c r="CD28" s="91"/>
      <c r="CE28" s="91"/>
      <c r="CF28" s="91"/>
      <c r="CG28" s="91"/>
      <c r="CH28" s="82"/>
      <c r="CI28" s="82"/>
      <c r="CJ28" s="82"/>
      <c r="CK28" s="82"/>
      <c r="CL28" s="91"/>
      <c r="CM28" s="91"/>
      <c r="CN28" s="91"/>
      <c r="CO28" s="91"/>
      <c r="CP28" s="82"/>
      <c r="CQ28" s="82"/>
      <c r="CR28" s="82"/>
      <c r="CS28" s="82"/>
      <c r="CT28" s="91"/>
      <c r="CU28" s="91"/>
      <c r="CV28" s="91"/>
      <c r="CW28" s="91"/>
      <c r="CX28" s="82"/>
      <c r="CY28" s="82"/>
      <c r="CZ28" s="82"/>
      <c r="DA28" s="82"/>
      <c r="DB28" s="91">
        <v>76073.849545454548</v>
      </c>
      <c r="DC28" s="82">
        <v>304295.39818181819</v>
      </c>
      <c r="DD28" s="91"/>
      <c r="DE28" s="101"/>
    </row>
    <row r="29" spans="1:109" x14ac:dyDescent="0.2">
      <c r="A29" s="14">
        <v>21</v>
      </c>
      <c r="B29" s="28" t="s">
        <v>328</v>
      </c>
      <c r="C29" s="14" t="s">
        <v>684</v>
      </c>
      <c r="D29" s="22"/>
      <c r="E29" s="24"/>
      <c r="F29" s="82" t="s">
        <v>960</v>
      </c>
      <c r="G29" s="82" t="s">
        <v>658</v>
      </c>
      <c r="H29" s="82">
        <v>0.875</v>
      </c>
      <c r="I29" s="82">
        <v>81925.684431818183</v>
      </c>
      <c r="J29" s="91"/>
      <c r="K29" s="91"/>
      <c r="L29" s="91"/>
      <c r="M29" s="91"/>
      <c r="N29" s="82"/>
      <c r="O29" s="82"/>
      <c r="P29" s="82"/>
      <c r="Q29" s="82"/>
      <c r="R29" s="91"/>
      <c r="S29" s="91"/>
      <c r="T29" s="91"/>
      <c r="U29" s="91"/>
      <c r="V29" s="82"/>
      <c r="W29" s="82"/>
      <c r="X29" s="82"/>
      <c r="Y29" s="82"/>
      <c r="Z29" s="91"/>
      <c r="AA29" s="91"/>
      <c r="AB29" s="91"/>
      <c r="AC29" s="91"/>
      <c r="AD29" s="82"/>
      <c r="AE29" s="82"/>
      <c r="AF29" s="82"/>
      <c r="AG29" s="82"/>
      <c r="AH29" s="91"/>
      <c r="AI29" s="91"/>
      <c r="AJ29" s="91"/>
      <c r="AK29" s="91"/>
      <c r="AL29" s="82"/>
      <c r="AM29" s="82"/>
      <c r="AN29" s="82"/>
      <c r="AO29" s="82"/>
      <c r="AP29" s="91"/>
      <c r="AQ29" s="91"/>
      <c r="AR29" s="91"/>
      <c r="AS29" s="91"/>
      <c r="AT29" s="82"/>
      <c r="AU29" s="82"/>
      <c r="AV29" s="82"/>
      <c r="AW29" s="82"/>
      <c r="AX29" s="91"/>
      <c r="AY29" s="91"/>
      <c r="AZ29" s="91"/>
      <c r="BA29" s="91"/>
      <c r="BB29" s="82"/>
      <c r="BC29" s="82"/>
      <c r="BD29" s="82"/>
      <c r="BE29" s="82"/>
      <c r="BF29" s="91"/>
      <c r="BG29" s="91"/>
      <c r="BH29" s="91"/>
      <c r="BI29" s="91"/>
      <c r="BJ29" s="82"/>
      <c r="BK29" s="82"/>
      <c r="BL29" s="82"/>
      <c r="BM29" s="82"/>
      <c r="BN29" s="91"/>
      <c r="BO29" s="91"/>
      <c r="BP29" s="91"/>
      <c r="BQ29" s="91"/>
      <c r="BR29" s="82"/>
      <c r="BS29" s="82"/>
      <c r="BT29" s="82"/>
      <c r="BU29" s="82"/>
      <c r="BV29" s="91"/>
      <c r="BW29" s="91"/>
      <c r="BX29" s="91"/>
      <c r="BY29" s="91"/>
      <c r="BZ29" s="82"/>
      <c r="CA29" s="82"/>
      <c r="CB29" s="82"/>
      <c r="CC29" s="82"/>
      <c r="CD29" s="91"/>
      <c r="CE29" s="91"/>
      <c r="CF29" s="91"/>
      <c r="CG29" s="91"/>
      <c r="CH29" s="82"/>
      <c r="CI29" s="82"/>
      <c r="CJ29" s="82"/>
      <c r="CK29" s="82"/>
      <c r="CL29" s="91"/>
      <c r="CM29" s="91"/>
      <c r="CN29" s="91"/>
      <c r="CO29" s="91"/>
      <c r="CP29" s="82"/>
      <c r="CQ29" s="82"/>
      <c r="CR29" s="82"/>
      <c r="CS29" s="82"/>
      <c r="CT29" s="91"/>
      <c r="CU29" s="91"/>
      <c r="CV29" s="91"/>
      <c r="CW29" s="91"/>
      <c r="CX29" s="82"/>
      <c r="CY29" s="82"/>
      <c r="CZ29" s="82"/>
      <c r="DA29" s="82"/>
      <c r="DB29" s="91">
        <v>93629.353636363638</v>
      </c>
      <c r="DC29" s="82">
        <v>81925.684431818183</v>
      </c>
      <c r="DD29" s="91"/>
      <c r="DE29" s="101"/>
    </row>
    <row r="30" spans="1:109" x14ac:dyDescent="0.2">
      <c r="A30" s="14">
        <v>22</v>
      </c>
      <c r="B30" s="28" t="s">
        <v>329</v>
      </c>
      <c r="C30" s="14" t="s">
        <v>685</v>
      </c>
      <c r="D30" s="22"/>
      <c r="E30" s="24"/>
      <c r="F30" s="82" t="s">
        <v>942</v>
      </c>
      <c r="G30" s="82" t="s">
        <v>662</v>
      </c>
      <c r="H30" s="82">
        <v>1</v>
      </c>
      <c r="I30" s="82">
        <v>67881.272727272721</v>
      </c>
      <c r="J30" s="91" t="s">
        <v>947</v>
      </c>
      <c r="K30" s="91" t="s">
        <v>662</v>
      </c>
      <c r="L30" s="91">
        <v>1</v>
      </c>
      <c r="M30" s="91">
        <v>67881.272727272706</v>
      </c>
      <c r="N30" s="82"/>
      <c r="O30" s="82"/>
      <c r="P30" s="82"/>
      <c r="Q30" s="82"/>
      <c r="R30" s="91"/>
      <c r="S30" s="91"/>
      <c r="T30" s="91"/>
      <c r="U30" s="91"/>
      <c r="V30" s="82"/>
      <c r="W30" s="82"/>
      <c r="X30" s="82"/>
      <c r="Y30" s="82"/>
      <c r="Z30" s="91"/>
      <c r="AA30" s="91"/>
      <c r="AB30" s="91"/>
      <c r="AC30" s="91"/>
      <c r="AD30" s="82"/>
      <c r="AE30" s="82"/>
      <c r="AF30" s="82"/>
      <c r="AG30" s="82"/>
      <c r="AH30" s="91"/>
      <c r="AI30" s="91"/>
      <c r="AJ30" s="91"/>
      <c r="AK30" s="91"/>
      <c r="AL30" s="82"/>
      <c r="AM30" s="82"/>
      <c r="AN30" s="82"/>
      <c r="AO30" s="82"/>
      <c r="AP30" s="91"/>
      <c r="AQ30" s="91"/>
      <c r="AR30" s="91"/>
      <c r="AS30" s="91"/>
      <c r="AT30" s="82"/>
      <c r="AU30" s="82"/>
      <c r="AV30" s="82"/>
      <c r="AW30" s="82"/>
      <c r="AX30" s="91"/>
      <c r="AY30" s="91"/>
      <c r="AZ30" s="91"/>
      <c r="BA30" s="91"/>
      <c r="BB30" s="82"/>
      <c r="BC30" s="82"/>
      <c r="BD30" s="82"/>
      <c r="BE30" s="82"/>
      <c r="BF30" s="91"/>
      <c r="BG30" s="91"/>
      <c r="BH30" s="91"/>
      <c r="BI30" s="91"/>
      <c r="BJ30" s="82"/>
      <c r="BK30" s="82"/>
      <c r="BL30" s="82"/>
      <c r="BM30" s="82"/>
      <c r="BN30" s="91"/>
      <c r="BO30" s="91"/>
      <c r="BP30" s="91"/>
      <c r="BQ30" s="91"/>
      <c r="BR30" s="82"/>
      <c r="BS30" s="82"/>
      <c r="BT30" s="82"/>
      <c r="BU30" s="82"/>
      <c r="BV30" s="91"/>
      <c r="BW30" s="91"/>
      <c r="BX30" s="91"/>
      <c r="BY30" s="91"/>
      <c r="BZ30" s="82"/>
      <c r="CA30" s="82"/>
      <c r="CB30" s="82"/>
      <c r="CC30" s="82"/>
      <c r="CD30" s="91"/>
      <c r="CE30" s="91"/>
      <c r="CF30" s="91"/>
      <c r="CG30" s="91"/>
      <c r="CH30" s="82"/>
      <c r="CI30" s="82"/>
      <c r="CJ30" s="82"/>
      <c r="CK30" s="82"/>
      <c r="CL30" s="91"/>
      <c r="CM30" s="91"/>
      <c r="CN30" s="91"/>
      <c r="CO30" s="91"/>
      <c r="CP30" s="82"/>
      <c r="CQ30" s="82"/>
      <c r="CR30" s="82"/>
      <c r="CS30" s="82"/>
      <c r="CT30" s="91"/>
      <c r="CU30" s="91"/>
      <c r="CV30" s="91"/>
      <c r="CW30" s="91"/>
      <c r="CX30" s="82"/>
      <c r="CY30" s="82"/>
      <c r="CZ30" s="82"/>
      <c r="DA30" s="82"/>
      <c r="DB30" s="91">
        <v>67881.272727272721</v>
      </c>
      <c r="DC30" s="82">
        <v>135762.54545454541</v>
      </c>
      <c r="DD30" s="91"/>
      <c r="DE30" s="101"/>
    </row>
    <row r="31" spans="1:109" x14ac:dyDescent="0.2">
      <c r="A31" s="14">
        <v>23</v>
      </c>
      <c r="B31" s="28" t="s">
        <v>846</v>
      </c>
      <c r="C31" s="14" t="s">
        <v>686</v>
      </c>
      <c r="D31" s="22"/>
      <c r="E31" s="24"/>
      <c r="F31" s="82" t="s">
        <v>956</v>
      </c>
      <c r="G31" s="82" t="s">
        <v>662</v>
      </c>
      <c r="H31" s="82">
        <v>0.41624999999999979</v>
      </c>
      <c r="I31" s="82">
        <v>31665.739873295439</v>
      </c>
      <c r="J31" s="91" t="s">
        <v>945</v>
      </c>
      <c r="K31" s="91" t="s">
        <v>662</v>
      </c>
      <c r="L31" s="91">
        <v>0.38624999999999998</v>
      </c>
      <c r="M31" s="91">
        <v>29383.524386931818</v>
      </c>
      <c r="N31" s="82" t="s">
        <v>946</v>
      </c>
      <c r="O31" s="82" t="s">
        <v>662</v>
      </c>
      <c r="P31" s="82">
        <v>0.375</v>
      </c>
      <c r="Q31" s="82">
        <v>28527.693579545456</v>
      </c>
      <c r="R31" s="91"/>
      <c r="S31" s="91"/>
      <c r="T31" s="91"/>
      <c r="U31" s="91"/>
      <c r="V31" s="82"/>
      <c r="W31" s="82"/>
      <c r="X31" s="82"/>
      <c r="Y31" s="82"/>
      <c r="Z31" s="91"/>
      <c r="AA31" s="91"/>
      <c r="AB31" s="91"/>
      <c r="AC31" s="91"/>
      <c r="AD31" s="82"/>
      <c r="AE31" s="82"/>
      <c r="AF31" s="82"/>
      <c r="AG31" s="82"/>
      <c r="AH31" s="91"/>
      <c r="AI31" s="91"/>
      <c r="AJ31" s="91"/>
      <c r="AK31" s="91"/>
      <c r="AL31" s="82"/>
      <c r="AM31" s="82"/>
      <c r="AN31" s="82"/>
      <c r="AO31" s="82"/>
      <c r="AP31" s="91"/>
      <c r="AQ31" s="91"/>
      <c r="AR31" s="91"/>
      <c r="AS31" s="91"/>
      <c r="AT31" s="82"/>
      <c r="AU31" s="82"/>
      <c r="AV31" s="82"/>
      <c r="AW31" s="82"/>
      <c r="AX31" s="91"/>
      <c r="AY31" s="91"/>
      <c r="AZ31" s="91"/>
      <c r="BA31" s="91"/>
      <c r="BB31" s="82"/>
      <c r="BC31" s="82"/>
      <c r="BD31" s="82"/>
      <c r="BE31" s="82"/>
      <c r="BF31" s="91"/>
      <c r="BG31" s="91"/>
      <c r="BH31" s="91"/>
      <c r="BI31" s="91"/>
      <c r="BJ31" s="82"/>
      <c r="BK31" s="82"/>
      <c r="BL31" s="82"/>
      <c r="BM31" s="82"/>
      <c r="BN31" s="91"/>
      <c r="BO31" s="91"/>
      <c r="BP31" s="91"/>
      <c r="BQ31" s="91"/>
      <c r="BR31" s="82"/>
      <c r="BS31" s="82"/>
      <c r="BT31" s="82"/>
      <c r="BU31" s="82"/>
      <c r="BV31" s="91"/>
      <c r="BW31" s="91"/>
      <c r="BX31" s="91"/>
      <c r="BY31" s="91"/>
      <c r="BZ31" s="82"/>
      <c r="CA31" s="82"/>
      <c r="CB31" s="82"/>
      <c r="CC31" s="82"/>
      <c r="CD31" s="91"/>
      <c r="CE31" s="91"/>
      <c r="CF31" s="91"/>
      <c r="CG31" s="91"/>
      <c r="CH31" s="82"/>
      <c r="CI31" s="82"/>
      <c r="CJ31" s="82"/>
      <c r="CK31" s="82"/>
      <c r="CL31" s="91"/>
      <c r="CM31" s="91"/>
      <c r="CN31" s="91"/>
      <c r="CO31" s="91"/>
      <c r="CP31" s="82"/>
      <c r="CQ31" s="82"/>
      <c r="CR31" s="82"/>
      <c r="CS31" s="82"/>
      <c r="CT31" s="91"/>
      <c r="CU31" s="91"/>
      <c r="CV31" s="91"/>
      <c r="CW31" s="91"/>
      <c r="CX31" s="82"/>
      <c r="CY31" s="82"/>
      <c r="CZ31" s="82"/>
      <c r="DA31" s="82"/>
      <c r="DB31" s="91">
        <v>76073.849545454548</v>
      </c>
      <c r="DC31" s="82">
        <v>89576.957839772716</v>
      </c>
      <c r="DD31" s="91"/>
      <c r="DE31" s="101"/>
    </row>
    <row r="32" spans="1:109" x14ac:dyDescent="0.2">
      <c r="A32" s="14">
        <v>24</v>
      </c>
      <c r="B32" s="28" t="s">
        <v>331</v>
      </c>
      <c r="C32" s="14" t="s">
        <v>687</v>
      </c>
      <c r="D32" s="22"/>
      <c r="E32" s="24"/>
      <c r="F32" s="82"/>
      <c r="G32" s="82"/>
      <c r="H32" s="82"/>
      <c r="I32" s="82"/>
      <c r="J32" s="91"/>
      <c r="K32" s="91"/>
      <c r="L32" s="91"/>
      <c r="M32" s="91"/>
      <c r="N32" s="82"/>
      <c r="O32" s="82"/>
      <c r="P32" s="82"/>
      <c r="Q32" s="82"/>
      <c r="R32" s="91"/>
      <c r="S32" s="91"/>
      <c r="T32" s="91"/>
      <c r="U32" s="91"/>
      <c r="V32" s="82"/>
      <c r="W32" s="82"/>
      <c r="X32" s="82"/>
      <c r="Y32" s="82"/>
      <c r="Z32" s="91"/>
      <c r="AA32" s="91"/>
      <c r="AB32" s="91"/>
      <c r="AC32" s="91"/>
      <c r="AD32" s="82"/>
      <c r="AE32" s="82"/>
      <c r="AF32" s="82"/>
      <c r="AG32" s="82"/>
      <c r="AH32" s="91"/>
      <c r="AI32" s="91"/>
      <c r="AJ32" s="91"/>
      <c r="AK32" s="91"/>
      <c r="AL32" s="82"/>
      <c r="AM32" s="82"/>
      <c r="AN32" s="82"/>
      <c r="AO32" s="82"/>
      <c r="AP32" s="91"/>
      <c r="AQ32" s="91"/>
      <c r="AR32" s="91"/>
      <c r="AS32" s="91"/>
      <c r="AT32" s="82"/>
      <c r="AU32" s="82"/>
      <c r="AV32" s="82"/>
      <c r="AW32" s="82"/>
      <c r="AX32" s="91"/>
      <c r="AY32" s="91"/>
      <c r="AZ32" s="91"/>
      <c r="BA32" s="91"/>
      <c r="BB32" s="82"/>
      <c r="BC32" s="82"/>
      <c r="BD32" s="82"/>
      <c r="BE32" s="82"/>
      <c r="BF32" s="91"/>
      <c r="BG32" s="91"/>
      <c r="BH32" s="91"/>
      <c r="BI32" s="91"/>
      <c r="BJ32" s="82"/>
      <c r="BK32" s="82"/>
      <c r="BL32" s="82"/>
      <c r="BM32" s="82"/>
      <c r="BN32" s="91"/>
      <c r="BO32" s="91"/>
      <c r="BP32" s="91"/>
      <c r="BQ32" s="91"/>
      <c r="BR32" s="82"/>
      <c r="BS32" s="82"/>
      <c r="BT32" s="82"/>
      <c r="BU32" s="82"/>
      <c r="BV32" s="91"/>
      <c r="BW32" s="91"/>
      <c r="BX32" s="91"/>
      <c r="BY32" s="91"/>
      <c r="BZ32" s="82"/>
      <c r="CA32" s="82"/>
      <c r="CB32" s="82"/>
      <c r="CC32" s="82"/>
      <c r="CD32" s="91"/>
      <c r="CE32" s="91"/>
      <c r="CF32" s="91"/>
      <c r="CG32" s="91"/>
      <c r="CH32" s="82"/>
      <c r="CI32" s="82"/>
      <c r="CJ32" s="82"/>
      <c r="CK32" s="82"/>
      <c r="CL32" s="91"/>
      <c r="CM32" s="91"/>
      <c r="CN32" s="91"/>
      <c r="CO32" s="91"/>
      <c r="CP32" s="82"/>
      <c r="CQ32" s="82"/>
      <c r="CR32" s="82"/>
      <c r="CS32" s="82"/>
      <c r="CT32" s="91"/>
      <c r="CU32" s="91"/>
      <c r="CV32" s="91"/>
      <c r="CW32" s="91"/>
      <c r="CX32" s="82"/>
      <c r="CY32" s="82"/>
      <c r="CZ32" s="82"/>
      <c r="DA32" s="82"/>
      <c r="DB32" s="91"/>
      <c r="DC32" s="82"/>
      <c r="DD32" s="91"/>
      <c r="DE32" s="101"/>
    </row>
    <row r="33" spans="1:109" x14ac:dyDescent="0.2">
      <c r="A33" s="14">
        <v>25</v>
      </c>
      <c r="B33" s="28" t="s">
        <v>357</v>
      </c>
      <c r="C33" s="14" t="s">
        <v>688</v>
      </c>
      <c r="D33" s="22"/>
      <c r="E33" s="24"/>
      <c r="F33" s="82" t="s">
        <v>939</v>
      </c>
      <c r="G33" s="82" t="s">
        <v>659</v>
      </c>
      <c r="H33" s="82">
        <v>1</v>
      </c>
      <c r="I33" s="82">
        <v>99481.188181818186</v>
      </c>
      <c r="J33" s="91"/>
      <c r="K33" s="91"/>
      <c r="L33" s="91"/>
      <c r="M33" s="91"/>
      <c r="N33" s="82"/>
      <c r="O33" s="82"/>
      <c r="P33" s="82"/>
      <c r="Q33" s="82"/>
      <c r="R33" s="91"/>
      <c r="S33" s="91"/>
      <c r="T33" s="91"/>
      <c r="U33" s="91"/>
      <c r="V33" s="82"/>
      <c r="W33" s="82"/>
      <c r="X33" s="82"/>
      <c r="Y33" s="82"/>
      <c r="Z33" s="91"/>
      <c r="AA33" s="91"/>
      <c r="AB33" s="91"/>
      <c r="AC33" s="91"/>
      <c r="AD33" s="82"/>
      <c r="AE33" s="82"/>
      <c r="AF33" s="82"/>
      <c r="AG33" s="82"/>
      <c r="AH33" s="91"/>
      <c r="AI33" s="91"/>
      <c r="AJ33" s="91"/>
      <c r="AK33" s="91"/>
      <c r="AL33" s="82"/>
      <c r="AM33" s="82"/>
      <c r="AN33" s="82"/>
      <c r="AO33" s="82"/>
      <c r="AP33" s="91"/>
      <c r="AQ33" s="91"/>
      <c r="AR33" s="91"/>
      <c r="AS33" s="91"/>
      <c r="AT33" s="82"/>
      <c r="AU33" s="82"/>
      <c r="AV33" s="82"/>
      <c r="AW33" s="82"/>
      <c r="AX33" s="91"/>
      <c r="AY33" s="91"/>
      <c r="AZ33" s="91"/>
      <c r="BA33" s="91"/>
      <c r="BB33" s="82"/>
      <c r="BC33" s="82"/>
      <c r="BD33" s="82"/>
      <c r="BE33" s="82"/>
      <c r="BF33" s="91"/>
      <c r="BG33" s="91"/>
      <c r="BH33" s="91"/>
      <c r="BI33" s="91"/>
      <c r="BJ33" s="82"/>
      <c r="BK33" s="82"/>
      <c r="BL33" s="82"/>
      <c r="BM33" s="82"/>
      <c r="BN33" s="91"/>
      <c r="BO33" s="91"/>
      <c r="BP33" s="91"/>
      <c r="BQ33" s="91"/>
      <c r="BR33" s="82"/>
      <c r="BS33" s="82"/>
      <c r="BT33" s="82"/>
      <c r="BU33" s="82"/>
      <c r="BV33" s="91"/>
      <c r="BW33" s="91"/>
      <c r="BX33" s="91"/>
      <c r="BY33" s="91"/>
      <c r="BZ33" s="82"/>
      <c r="CA33" s="82"/>
      <c r="CB33" s="82"/>
      <c r="CC33" s="82"/>
      <c r="CD33" s="91"/>
      <c r="CE33" s="91"/>
      <c r="CF33" s="91"/>
      <c r="CG33" s="91"/>
      <c r="CH33" s="82"/>
      <c r="CI33" s="82"/>
      <c r="CJ33" s="82"/>
      <c r="CK33" s="82"/>
      <c r="CL33" s="91"/>
      <c r="CM33" s="91"/>
      <c r="CN33" s="91"/>
      <c r="CO33" s="91"/>
      <c r="CP33" s="82"/>
      <c r="CQ33" s="82"/>
      <c r="CR33" s="82"/>
      <c r="CS33" s="82"/>
      <c r="CT33" s="91"/>
      <c r="CU33" s="91"/>
      <c r="CV33" s="91"/>
      <c r="CW33" s="91"/>
      <c r="CX33" s="82"/>
      <c r="CY33" s="82"/>
      <c r="CZ33" s="82"/>
      <c r="DA33" s="82"/>
      <c r="DB33" s="91">
        <v>99481.188181818186</v>
      </c>
      <c r="DC33" s="82">
        <v>99481.188181818186</v>
      </c>
      <c r="DD33" s="91"/>
      <c r="DE33" s="101"/>
    </row>
    <row r="34" spans="1:109" x14ac:dyDescent="0.2">
      <c r="A34" s="14">
        <v>26</v>
      </c>
      <c r="B34" s="28" t="s">
        <v>332</v>
      </c>
      <c r="C34" s="14" t="s">
        <v>689</v>
      </c>
      <c r="D34" s="22"/>
      <c r="E34" s="24"/>
      <c r="F34" s="82"/>
      <c r="G34" s="82"/>
      <c r="H34" s="82"/>
      <c r="I34" s="82"/>
      <c r="J34" s="91"/>
      <c r="K34" s="91"/>
      <c r="L34" s="91"/>
      <c r="M34" s="91"/>
      <c r="N34" s="82"/>
      <c r="O34" s="82"/>
      <c r="P34" s="82"/>
      <c r="Q34" s="82"/>
      <c r="R34" s="91"/>
      <c r="S34" s="91"/>
      <c r="T34" s="91"/>
      <c r="U34" s="91"/>
      <c r="V34" s="82"/>
      <c r="W34" s="82"/>
      <c r="X34" s="82"/>
      <c r="Y34" s="82"/>
      <c r="Z34" s="91"/>
      <c r="AA34" s="91"/>
      <c r="AB34" s="91"/>
      <c r="AC34" s="91"/>
      <c r="AD34" s="82"/>
      <c r="AE34" s="82"/>
      <c r="AF34" s="82"/>
      <c r="AG34" s="82"/>
      <c r="AH34" s="91"/>
      <c r="AI34" s="91"/>
      <c r="AJ34" s="91"/>
      <c r="AK34" s="91"/>
      <c r="AL34" s="82"/>
      <c r="AM34" s="82"/>
      <c r="AN34" s="82"/>
      <c r="AO34" s="82"/>
      <c r="AP34" s="91"/>
      <c r="AQ34" s="91"/>
      <c r="AR34" s="91"/>
      <c r="AS34" s="91"/>
      <c r="AT34" s="82"/>
      <c r="AU34" s="82"/>
      <c r="AV34" s="82"/>
      <c r="AW34" s="82"/>
      <c r="AX34" s="91"/>
      <c r="AY34" s="91"/>
      <c r="AZ34" s="91"/>
      <c r="BA34" s="91"/>
      <c r="BB34" s="82"/>
      <c r="BC34" s="82"/>
      <c r="BD34" s="82"/>
      <c r="BE34" s="82"/>
      <c r="BF34" s="91"/>
      <c r="BG34" s="91"/>
      <c r="BH34" s="91"/>
      <c r="BI34" s="91"/>
      <c r="BJ34" s="82"/>
      <c r="BK34" s="82"/>
      <c r="BL34" s="82"/>
      <c r="BM34" s="82"/>
      <c r="BN34" s="91"/>
      <c r="BO34" s="91"/>
      <c r="BP34" s="91"/>
      <c r="BQ34" s="91"/>
      <c r="BR34" s="82"/>
      <c r="BS34" s="82"/>
      <c r="BT34" s="82"/>
      <c r="BU34" s="82"/>
      <c r="BV34" s="91"/>
      <c r="BW34" s="91"/>
      <c r="BX34" s="91"/>
      <c r="BY34" s="91"/>
      <c r="BZ34" s="82"/>
      <c r="CA34" s="82"/>
      <c r="CB34" s="82"/>
      <c r="CC34" s="82"/>
      <c r="CD34" s="91"/>
      <c r="CE34" s="91"/>
      <c r="CF34" s="91"/>
      <c r="CG34" s="91"/>
      <c r="CH34" s="82"/>
      <c r="CI34" s="82"/>
      <c r="CJ34" s="82"/>
      <c r="CK34" s="82"/>
      <c r="CL34" s="91"/>
      <c r="CM34" s="91"/>
      <c r="CN34" s="91"/>
      <c r="CO34" s="91"/>
      <c r="CP34" s="82"/>
      <c r="CQ34" s="82"/>
      <c r="CR34" s="82"/>
      <c r="CS34" s="82"/>
      <c r="CT34" s="91"/>
      <c r="CU34" s="91"/>
      <c r="CV34" s="91"/>
      <c r="CW34" s="91"/>
      <c r="CX34" s="82"/>
      <c r="CY34" s="82"/>
      <c r="CZ34" s="82"/>
      <c r="DA34" s="82"/>
      <c r="DB34" s="91"/>
      <c r="DC34" s="82"/>
      <c r="DD34" s="91"/>
      <c r="DE34" s="101"/>
    </row>
    <row r="35" spans="1:109" x14ac:dyDescent="0.2">
      <c r="A35" s="14">
        <v>27</v>
      </c>
      <c r="B35" s="28" t="s">
        <v>353</v>
      </c>
      <c r="C35" s="14" t="s">
        <v>690</v>
      </c>
      <c r="D35" s="22"/>
      <c r="E35" s="24"/>
      <c r="F35" s="82" t="s">
        <v>950</v>
      </c>
      <c r="G35" s="82" t="s">
        <v>662</v>
      </c>
      <c r="H35" s="82">
        <v>0.5</v>
      </c>
      <c r="I35" s="82">
        <v>38036.924772727274</v>
      </c>
      <c r="J35" s="91" t="s">
        <v>946</v>
      </c>
      <c r="K35" s="91" t="s">
        <v>662</v>
      </c>
      <c r="L35" s="91">
        <v>0.27125000000000021</v>
      </c>
      <c r="M35" s="91">
        <v>20635.031689204563</v>
      </c>
      <c r="N35" s="82"/>
      <c r="O35" s="82"/>
      <c r="P35" s="82"/>
      <c r="Q35" s="82"/>
      <c r="R35" s="91"/>
      <c r="S35" s="91"/>
      <c r="T35" s="91"/>
      <c r="U35" s="91"/>
      <c r="V35" s="82"/>
      <c r="W35" s="82"/>
      <c r="X35" s="82"/>
      <c r="Y35" s="82"/>
      <c r="Z35" s="91"/>
      <c r="AA35" s="91"/>
      <c r="AB35" s="91"/>
      <c r="AC35" s="91"/>
      <c r="AD35" s="82"/>
      <c r="AE35" s="82"/>
      <c r="AF35" s="82"/>
      <c r="AG35" s="82"/>
      <c r="AH35" s="91"/>
      <c r="AI35" s="91"/>
      <c r="AJ35" s="91"/>
      <c r="AK35" s="91"/>
      <c r="AL35" s="82"/>
      <c r="AM35" s="82"/>
      <c r="AN35" s="82"/>
      <c r="AO35" s="82"/>
      <c r="AP35" s="91"/>
      <c r="AQ35" s="91"/>
      <c r="AR35" s="91"/>
      <c r="AS35" s="91"/>
      <c r="AT35" s="82"/>
      <c r="AU35" s="82"/>
      <c r="AV35" s="82"/>
      <c r="AW35" s="82"/>
      <c r="AX35" s="91"/>
      <c r="AY35" s="91"/>
      <c r="AZ35" s="91"/>
      <c r="BA35" s="91"/>
      <c r="BB35" s="82"/>
      <c r="BC35" s="82"/>
      <c r="BD35" s="82"/>
      <c r="BE35" s="82"/>
      <c r="BF35" s="91"/>
      <c r="BG35" s="91"/>
      <c r="BH35" s="91"/>
      <c r="BI35" s="91"/>
      <c r="BJ35" s="82"/>
      <c r="BK35" s="82"/>
      <c r="BL35" s="82"/>
      <c r="BM35" s="82"/>
      <c r="BN35" s="91"/>
      <c r="BO35" s="91"/>
      <c r="BP35" s="91"/>
      <c r="BQ35" s="91"/>
      <c r="BR35" s="82"/>
      <c r="BS35" s="82"/>
      <c r="BT35" s="82"/>
      <c r="BU35" s="82"/>
      <c r="BV35" s="91"/>
      <c r="BW35" s="91"/>
      <c r="BX35" s="91"/>
      <c r="BY35" s="91"/>
      <c r="BZ35" s="82"/>
      <c r="CA35" s="82"/>
      <c r="CB35" s="82"/>
      <c r="CC35" s="82"/>
      <c r="CD35" s="91"/>
      <c r="CE35" s="91"/>
      <c r="CF35" s="91"/>
      <c r="CG35" s="91"/>
      <c r="CH35" s="82"/>
      <c r="CI35" s="82"/>
      <c r="CJ35" s="82"/>
      <c r="CK35" s="82"/>
      <c r="CL35" s="91"/>
      <c r="CM35" s="91"/>
      <c r="CN35" s="91"/>
      <c r="CO35" s="91"/>
      <c r="CP35" s="82"/>
      <c r="CQ35" s="82"/>
      <c r="CR35" s="82"/>
      <c r="CS35" s="82"/>
      <c r="CT35" s="91"/>
      <c r="CU35" s="91"/>
      <c r="CV35" s="91"/>
      <c r="CW35" s="91"/>
      <c r="CX35" s="82"/>
      <c r="CY35" s="82"/>
      <c r="CZ35" s="82"/>
      <c r="DA35" s="82"/>
      <c r="DB35" s="91">
        <v>76073.849545454548</v>
      </c>
      <c r="DC35" s="82">
        <v>58671.956461931841</v>
      </c>
      <c r="DD35" s="91"/>
      <c r="DE35" s="101"/>
    </row>
    <row r="36" spans="1:109" x14ac:dyDescent="0.2">
      <c r="A36" s="14">
        <v>28</v>
      </c>
      <c r="B36" s="28" t="s">
        <v>354</v>
      </c>
      <c r="C36" s="14" t="s">
        <v>691</v>
      </c>
      <c r="D36" s="22"/>
      <c r="E36" s="24"/>
      <c r="F36" s="82" t="s">
        <v>938</v>
      </c>
      <c r="G36" s="82" t="s">
        <v>658</v>
      </c>
      <c r="H36" s="82">
        <v>0.875</v>
      </c>
      <c r="I36" s="82">
        <v>66564.618352272722</v>
      </c>
      <c r="J36" s="91" t="s">
        <v>943</v>
      </c>
      <c r="K36" s="91" t="s">
        <v>659</v>
      </c>
      <c r="L36" s="91">
        <v>1</v>
      </c>
      <c r="M36" s="91">
        <v>76073.849545454548</v>
      </c>
      <c r="N36" s="82" t="s">
        <v>947</v>
      </c>
      <c r="O36" s="82" t="s">
        <v>658</v>
      </c>
      <c r="P36" s="82">
        <v>1</v>
      </c>
      <c r="Q36" s="82">
        <v>76073.849545454548</v>
      </c>
      <c r="R36" s="91"/>
      <c r="S36" s="91"/>
      <c r="T36" s="91"/>
      <c r="U36" s="91"/>
      <c r="V36" s="82"/>
      <c r="W36" s="82"/>
      <c r="X36" s="82"/>
      <c r="Y36" s="82"/>
      <c r="Z36" s="91"/>
      <c r="AA36" s="91"/>
      <c r="AB36" s="91"/>
      <c r="AC36" s="91"/>
      <c r="AD36" s="82"/>
      <c r="AE36" s="82"/>
      <c r="AF36" s="82"/>
      <c r="AG36" s="82"/>
      <c r="AH36" s="91"/>
      <c r="AI36" s="91"/>
      <c r="AJ36" s="91"/>
      <c r="AK36" s="91"/>
      <c r="AL36" s="82"/>
      <c r="AM36" s="82"/>
      <c r="AN36" s="82"/>
      <c r="AO36" s="82"/>
      <c r="AP36" s="91"/>
      <c r="AQ36" s="91"/>
      <c r="AR36" s="91"/>
      <c r="AS36" s="91"/>
      <c r="AT36" s="82"/>
      <c r="AU36" s="82"/>
      <c r="AV36" s="82"/>
      <c r="AW36" s="82"/>
      <c r="AX36" s="91"/>
      <c r="AY36" s="91"/>
      <c r="AZ36" s="91"/>
      <c r="BA36" s="91"/>
      <c r="BB36" s="82"/>
      <c r="BC36" s="82"/>
      <c r="BD36" s="82"/>
      <c r="BE36" s="82"/>
      <c r="BF36" s="91"/>
      <c r="BG36" s="91"/>
      <c r="BH36" s="91"/>
      <c r="BI36" s="91"/>
      <c r="BJ36" s="82"/>
      <c r="BK36" s="82"/>
      <c r="BL36" s="82"/>
      <c r="BM36" s="82"/>
      <c r="BN36" s="91"/>
      <c r="BO36" s="91"/>
      <c r="BP36" s="91"/>
      <c r="BQ36" s="91"/>
      <c r="BR36" s="82"/>
      <c r="BS36" s="82"/>
      <c r="BT36" s="82"/>
      <c r="BU36" s="82"/>
      <c r="BV36" s="91"/>
      <c r="BW36" s="91"/>
      <c r="BX36" s="91"/>
      <c r="BY36" s="91"/>
      <c r="BZ36" s="82"/>
      <c r="CA36" s="82"/>
      <c r="CB36" s="82"/>
      <c r="CC36" s="82"/>
      <c r="CD36" s="91"/>
      <c r="CE36" s="91"/>
      <c r="CF36" s="91"/>
      <c r="CG36" s="91"/>
      <c r="CH36" s="82"/>
      <c r="CI36" s="82"/>
      <c r="CJ36" s="82"/>
      <c r="CK36" s="82"/>
      <c r="CL36" s="91"/>
      <c r="CM36" s="91"/>
      <c r="CN36" s="91"/>
      <c r="CO36" s="91"/>
      <c r="CP36" s="82"/>
      <c r="CQ36" s="82"/>
      <c r="CR36" s="82"/>
      <c r="CS36" s="82"/>
      <c r="CT36" s="91"/>
      <c r="CU36" s="91"/>
      <c r="CV36" s="91"/>
      <c r="CW36" s="91"/>
      <c r="CX36" s="82"/>
      <c r="CY36" s="82"/>
      <c r="CZ36" s="82"/>
      <c r="DA36" s="82"/>
      <c r="DB36" s="91">
        <v>76073.849545454548</v>
      </c>
      <c r="DC36" s="82">
        <v>218712.31744318182</v>
      </c>
      <c r="DD36" s="91"/>
      <c r="DE36" s="101"/>
    </row>
    <row r="37" spans="1:109" x14ac:dyDescent="0.2">
      <c r="A37" s="14">
        <v>29</v>
      </c>
      <c r="B37" s="28" t="s">
        <v>358</v>
      </c>
      <c r="C37" s="14" t="s">
        <v>692</v>
      </c>
      <c r="D37" s="22"/>
      <c r="E37" s="24"/>
      <c r="F37" s="82" t="s">
        <v>950</v>
      </c>
      <c r="G37" s="82" t="s">
        <v>657</v>
      </c>
      <c r="H37" s="82">
        <v>1</v>
      </c>
      <c r="I37" s="82">
        <v>67881.281363636357</v>
      </c>
      <c r="J37" s="91" t="s">
        <v>949</v>
      </c>
      <c r="K37" s="91" t="s">
        <v>657</v>
      </c>
      <c r="L37" s="91">
        <v>1</v>
      </c>
      <c r="M37" s="91">
        <v>67881.281363636357</v>
      </c>
      <c r="N37" s="82" t="s">
        <v>955</v>
      </c>
      <c r="O37" s="82" t="s">
        <v>657</v>
      </c>
      <c r="P37" s="82">
        <v>1</v>
      </c>
      <c r="Q37" s="82">
        <v>67881.281363636357</v>
      </c>
      <c r="R37" s="91" t="s">
        <v>944</v>
      </c>
      <c r="S37" s="91" t="s">
        <v>657</v>
      </c>
      <c r="T37" s="91">
        <v>1</v>
      </c>
      <c r="U37" s="91">
        <v>67881.281363636357</v>
      </c>
      <c r="V37" s="82" t="s">
        <v>948</v>
      </c>
      <c r="W37" s="82" t="s">
        <v>657</v>
      </c>
      <c r="X37" s="82">
        <v>1</v>
      </c>
      <c r="Y37" s="82">
        <v>67881.281363636357</v>
      </c>
      <c r="Z37" s="91" t="s">
        <v>940</v>
      </c>
      <c r="AA37" s="91" t="s">
        <v>657</v>
      </c>
      <c r="AB37" s="91">
        <v>1</v>
      </c>
      <c r="AC37" s="91">
        <v>67881.281363636357</v>
      </c>
      <c r="AD37" s="82" t="s">
        <v>965</v>
      </c>
      <c r="AE37" s="82" t="s">
        <v>657</v>
      </c>
      <c r="AF37" s="82">
        <v>1</v>
      </c>
      <c r="AG37" s="82">
        <v>67881.281363636357</v>
      </c>
      <c r="AH37" s="91" t="s">
        <v>953</v>
      </c>
      <c r="AI37" s="91" t="s">
        <v>657</v>
      </c>
      <c r="AJ37" s="91">
        <v>1</v>
      </c>
      <c r="AK37" s="91">
        <v>67881.281363636357</v>
      </c>
      <c r="AL37" s="82"/>
      <c r="AM37" s="82"/>
      <c r="AN37" s="82"/>
      <c r="AO37" s="82"/>
      <c r="AP37" s="91"/>
      <c r="AQ37" s="91"/>
      <c r="AR37" s="91"/>
      <c r="AS37" s="91"/>
      <c r="AT37" s="82"/>
      <c r="AU37" s="82"/>
      <c r="AV37" s="82"/>
      <c r="AW37" s="82"/>
      <c r="AX37" s="91"/>
      <c r="AY37" s="91"/>
      <c r="AZ37" s="91"/>
      <c r="BA37" s="91"/>
      <c r="BB37" s="82"/>
      <c r="BC37" s="82"/>
      <c r="BD37" s="82"/>
      <c r="BE37" s="82"/>
      <c r="BF37" s="91"/>
      <c r="BG37" s="91"/>
      <c r="BH37" s="91"/>
      <c r="BI37" s="91"/>
      <c r="BJ37" s="82"/>
      <c r="BK37" s="82"/>
      <c r="BL37" s="82"/>
      <c r="BM37" s="82"/>
      <c r="BN37" s="91"/>
      <c r="BO37" s="91"/>
      <c r="BP37" s="91"/>
      <c r="BQ37" s="91"/>
      <c r="BR37" s="82"/>
      <c r="BS37" s="82"/>
      <c r="BT37" s="82"/>
      <c r="BU37" s="82"/>
      <c r="BV37" s="91"/>
      <c r="BW37" s="91"/>
      <c r="BX37" s="91"/>
      <c r="BY37" s="91"/>
      <c r="BZ37" s="82"/>
      <c r="CA37" s="82"/>
      <c r="CB37" s="82"/>
      <c r="CC37" s="82"/>
      <c r="CD37" s="91"/>
      <c r="CE37" s="91"/>
      <c r="CF37" s="91"/>
      <c r="CG37" s="91"/>
      <c r="CH37" s="82"/>
      <c r="CI37" s="82"/>
      <c r="CJ37" s="82"/>
      <c r="CK37" s="82"/>
      <c r="CL37" s="91"/>
      <c r="CM37" s="91"/>
      <c r="CN37" s="91"/>
      <c r="CO37" s="91"/>
      <c r="CP37" s="82"/>
      <c r="CQ37" s="82"/>
      <c r="CR37" s="82"/>
      <c r="CS37" s="82"/>
      <c r="CT37" s="91"/>
      <c r="CU37" s="91"/>
      <c r="CV37" s="91"/>
      <c r="CW37" s="91"/>
      <c r="CX37" s="82"/>
      <c r="CY37" s="82"/>
      <c r="CZ37" s="82"/>
      <c r="DA37" s="82"/>
      <c r="DB37" s="91">
        <v>67881.281363636357</v>
      </c>
      <c r="DC37" s="82">
        <v>543050.25090909086</v>
      </c>
      <c r="DD37" s="91"/>
      <c r="DE37" s="101"/>
    </row>
    <row r="38" spans="1:109" x14ac:dyDescent="0.2">
      <c r="A38" s="14">
        <v>30</v>
      </c>
      <c r="B38" s="28" t="s">
        <v>337</v>
      </c>
      <c r="C38" s="14" t="s">
        <v>693</v>
      </c>
      <c r="D38" s="22"/>
      <c r="E38" s="24"/>
      <c r="F38" s="82" t="s">
        <v>958</v>
      </c>
      <c r="G38" s="82" t="s">
        <v>662</v>
      </c>
      <c r="H38" s="82">
        <v>0.5637500000000002</v>
      </c>
      <c r="I38" s="82">
        <v>52783.548112500022</v>
      </c>
      <c r="J38" s="91"/>
      <c r="K38" s="91"/>
      <c r="L38" s="91"/>
      <c r="M38" s="91"/>
      <c r="N38" s="82"/>
      <c r="O38" s="82"/>
      <c r="P38" s="82"/>
      <c r="Q38" s="82"/>
      <c r="R38" s="91"/>
      <c r="S38" s="91"/>
      <c r="T38" s="91"/>
      <c r="U38" s="91"/>
      <c r="V38" s="82"/>
      <c r="W38" s="82"/>
      <c r="X38" s="82"/>
      <c r="Y38" s="82"/>
      <c r="Z38" s="91"/>
      <c r="AA38" s="91"/>
      <c r="AB38" s="91"/>
      <c r="AC38" s="91"/>
      <c r="AD38" s="82"/>
      <c r="AE38" s="82"/>
      <c r="AF38" s="82"/>
      <c r="AG38" s="82"/>
      <c r="AH38" s="91"/>
      <c r="AI38" s="91"/>
      <c r="AJ38" s="91"/>
      <c r="AK38" s="91"/>
      <c r="AL38" s="82"/>
      <c r="AM38" s="82"/>
      <c r="AN38" s="82"/>
      <c r="AO38" s="82"/>
      <c r="AP38" s="91"/>
      <c r="AQ38" s="91"/>
      <c r="AR38" s="91"/>
      <c r="AS38" s="91"/>
      <c r="AT38" s="82"/>
      <c r="AU38" s="82"/>
      <c r="AV38" s="82"/>
      <c r="AW38" s="82"/>
      <c r="AX38" s="91"/>
      <c r="AY38" s="91"/>
      <c r="AZ38" s="91"/>
      <c r="BA38" s="91"/>
      <c r="BB38" s="82"/>
      <c r="BC38" s="82"/>
      <c r="BD38" s="82"/>
      <c r="BE38" s="82"/>
      <c r="BF38" s="91"/>
      <c r="BG38" s="91"/>
      <c r="BH38" s="91"/>
      <c r="BI38" s="91"/>
      <c r="BJ38" s="82"/>
      <c r="BK38" s="82"/>
      <c r="BL38" s="82"/>
      <c r="BM38" s="82"/>
      <c r="BN38" s="91"/>
      <c r="BO38" s="91"/>
      <c r="BP38" s="91"/>
      <c r="BQ38" s="91"/>
      <c r="BR38" s="82"/>
      <c r="BS38" s="82"/>
      <c r="BT38" s="82"/>
      <c r="BU38" s="82"/>
      <c r="BV38" s="91"/>
      <c r="BW38" s="91"/>
      <c r="BX38" s="91"/>
      <c r="BY38" s="91"/>
      <c r="BZ38" s="82"/>
      <c r="CA38" s="82"/>
      <c r="CB38" s="82"/>
      <c r="CC38" s="82"/>
      <c r="CD38" s="91"/>
      <c r="CE38" s="91"/>
      <c r="CF38" s="91"/>
      <c r="CG38" s="91"/>
      <c r="CH38" s="82"/>
      <c r="CI38" s="82"/>
      <c r="CJ38" s="82"/>
      <c r="CK38" s="82"/>
      <c r="CL38" s="91"/>
      <c r="CM38" s="91"/>
      <c r="CN38" s="91"/>
      <c r="CO38" s="91"/>
      <c r="CP38" s="82"/>
      <c r="CQ38" s="82"/>
      <c r="CR38" s="82"/>
      <c r="CS38" s="82"/>
      <c r="CT38" s="91"/>
      <c r="CU38" s="91"/>
      <c r="CV38" s="91"/>
      <c r="CW38" s="91"/>
      <c r="CX38" s="82"/>
      <c r="CY38" s="82"/>
      <c r="CZ38" s="82"/>
      <c r="DA38" s="82"/>
      <c r="DB38" s="91">
        <v>93629.353636363638</v>
      </c>
      <c r="DC38" s="82">
        <v>52783.548112500022</v>
      </c>
      <c r="DD38" s="91"/>
      <c r="DE38" s="101"/>
    </row>
    <row r="39" spans="1:109" x14ac:dyDescent="0.2">
      <c r="A39" s="14">
        <v>31</v>
      </c>
      <c r="B39" s="28" t="s">
        <v>355</v>
      </c>
      <c r="C39" s="14" t="s">
        <v>694</v>
      </c>
      <c r="D39" s="22"/>
      <c r="E39" s="24"/>
      <c r="F39" s="82" t="s">
        <v>938</v>
      </c>
      <c r="G39" s="82" t="s">
        <v>657</v>
      </c>
      <c r="H39" s="82">
        <v>1.0587500000000001</v>
      </c>
      <c r="I39" s="82">
        <v>80543.188206250008</v>
      </c>
      <c r="J39" s="91" t="s">
        <v>939</v>
      </c>
      <c r="K39" s="91" t="s">
        <v>657</v>
      </c>
      <c r="L39" s="91">
        <v>1.00875</v>
      </c>
      <c r="M39" s="91">
        <v>76739.495728977272</v>
      </c>
      <c r="N39" s="82" t="s">
        <v>946</v>
      </c>
      <c r="O39" s="82" t="s">
        <v>662</v>
      </c>
      <c r="P39" s="82">
        <v>0.38249999999999984</v>
      </c>
      <c r="Q39" s="82">
        <v>29098.247451136351</v>
      </c>
      <c r="R39" s="91"/>
      <c r="S39" s="91"/>
      <c r="T39" s="91"/>
      <c r="U39" s="91"/>
      <c r="V39" s="82"/>
      <c r="W39" s="82"/>
      <c r="X39" s="82"/>
      <c r="Y39" s="82"/>
      <c r="Z39" s="91"/>
      <c r="AA39" s="91"/>
      <c r="AB39" s="91"/>
      <c r="AC39" s="91"/>
      <c r="AD39" s="82"/>
      <c r="AE39" s="82"/>
      <c r="AF39" s="82"/>
      <c r="AG39" s="82"/>
      <c r="AH39" s="91"/>
      <c r="AI39" s="91"/>
      <c r="AJ39" s="91"/>
      <c r="AK39" s="91"/>
      <c r="AL39" s="82"/>
      <c r="AM39" s="82"/>
      <c r="AN39" s="82"/>
      <c r="AO39" s="82"/>
      <c r="AP39" s="91"/>
      <c r="AQ39" s="91"/>
      <c r="AR39" s="91"/>
      <c r="AS39" s="91"/>
      <c r="AT39" s="82"/>
      <c r="AU39" s="82"/>
      <c r="AV39" s="82"/>
      <c r="AW39" s="82"/>
      <c r="AX39" s="91"/>
      <c r="AY39" s="91"/>
      <c r="AZ39" s="91"/>
      <c r="BA39" s="91"/>
      <c r="BB39" s="82"/>
      <c r="BC39" s="82"/>
      <c r="BD39" s="82"/>
      <c r="BE39" s="82"/>
      <c r="BF39" s="91"/>
      <c r="BG39" s="91"/>
      <c r="BH39" s="91"/>
      <c r="BI39" s="91"/>
      <c r="BJ39" s="82"/>
      <c r="BK39" s="82"/>
      <c r="BL39" s="82"/>
      <c r="BM39" s="82"/>
      <c r="BN39" s="91"/>
      <c r="BO39" s="91"/>
      <c r="BP39" s="91"/>
      <c r="BQ39" s="91"/>
      <c r="BR39" s="82"/>
      <c r="BS39" s="82"/>
      <c r="BT39" s="82"/>
      <c r="BU39" s="82"/>
      <c r="BV39" s="91"/>
      <c r="BW39" s="91"/>
      <c r="BX39" s="91"/>
      <c r="BY39" s="91"/>
      <c r="BZ39" s="82"/>
      <c r="CA39" s="82"/>
      <c r="CB39" s="82"/>
      <c r="CC39" s="82"/>
      <c r="CD39" s="91"/>
      <c r="CE39" s="91"/>
      <c r="CF39" s="91"/>
      <c r="CG39" s="91"/>
      <c r="CH39" s="82"/>
      <c r="CI39" s="82"/>
      <c r="CJ39" s="82"/>
      <c r="CK39" s="82"/>
      <c r="CL39" s="91"/>
      <c r="CM39" s="91"/>
      <c r="CN39" s="91"/>
      <c r="CO39" s="91"/>
      <c r="CP39" s="82"/>
      <c r="CQ39" s="82"/>
      <c r="CR39" s="82"/>
      <c r="CS39" s="82"/>
      <c r="CT39" s="91"/>
      <c r="CU39" s="91"/>
      <c r="CV39" s="91"/>
      <c r="CW39" s="91"/>
      <c r="CX39" s="82"/>
      <c r="CY39" s="82"/>
      <c r="CZ39" s="82"/>
      <c r="DA39" s="82"/>
      <c r="DB39" s="91">
        <v>76073.849545454548</v>
      </c>
      <c r="DC39" s="82">
        <v>186380.93138636363</v>
      </c>
      <c r="DD39" s="91"/>
      <c r="DE39" s="101"/>
    </row>
    <row r="40" spans="1:109" x14ac:dyDescent="0.2">
      <c r="A40" s="14">
        <v>32</v>
      </c>
      <c r="B40" s="28" t="s">
        <v>381</v>
      </c>
      <c r="C40" s="14" t="s">
        <v>695</v>
      </c>
      <c r="D40" s="22"/>
      <c r="E40" s="24"/>
      <c r="F40" s="82" t="s">
        <v>963</v>
      </c>
      <c r="G40" s="82" t="s">
        <v>658</v>
      </c>
      <c r="H40" s="82">
        <v>0.875</v>
      </c>
      <c r="I40" s="82">
        <v>87046.039659090908</v>
      </c>
      <c r="J40" s="91"/>
      <c r="K40" s="91"/>
      <c r="L40" s="91"/>
      <c r="M40" s="91"/>
      <c r="N40" s="82"/>
      <c r="O40" s="82"/>
      <c r="P40" s="82"/>
      <c r="Q40" s="82"/>
      <c r="R40" s="91"/>
      <c r="S40" s="91"/>
      <c r="T40" s="91"/>
      <c r="U40" s="91"/>
      <c r="V40" s="82"/>
      <c r="W40" s="82"/>
      <c r="X40" s="82"/>
      <c r="Y40" s="82"/>
      <c r="Z40" s="91"/>
      <c r="AA40" s="91"/>
      <c r="AB40" s="91"/>
      <c r="AC40" s="91"/>
      <c r="AD40" s="82"/>
      <c r="AE40" s="82"/>
      <c r="AF40" s="82"/>
      <c r="AG40" s="82"/>
      <c r="AH40" s="91"/>
      <c r="AI40" s="91"/>
      <c r="AJ40" s="91"/>
      <c r="AK40" s="91"/>
      <c r="AL40" s="82"/>
      <c r="AM40" s="82"/>
      <c r="AN40" s="82"/>
      <c r="AO40" s="82"/>
      <c r="AP40" s="91"/>
      <c r="AQ40" s="91"/>
      <c r="AR40" s="91"/>
      <c r="AS40" s="91"/>
      <c r="AT40" s="82"/>
      <c r="AU40" s="82"/>
      <c r="AV40" s="82"/>
      <c r="AW40" s="82"/>
      <c r="AX40" s="91"/>
      <c r="AY40" s="91"/>
      <c r="AZ40" s="91"/>
      <c r="BA40" s="91"/>
      <c r="BB40" s="82"/>
      <c r="BC40" s="82"/>
      <c r="BD40" s="82"/>
      <c r="BE40" s="82"/>
      <c r="BF40" s="91"/>
      <c r="BG40" s="91"/>
      <c r="BH40" s="91"/>
      <c r="BI40" s="91"/>
      <c r="BJ40" s="82"/>
      <c r="BK40" s="82"/>
      <c r="BL40" s="82"/>
      <c r="BM40" s="82"/>
      <c r="BN40" s="91"/>
      <c r="BO40" s="91"/>
      <c r="BP40" s="91"/>
      <c r="BQ40" s="91"/>
      <c r="BR40" s="82"/>
      <c r="BS40" s="82"/>
      <c r="BT40" s="82"/>
      <c r="BU40" s="82"/>
      <c r="BV40" s="91"/>
      <c r="BW40" s="91"/>
      <c r="BX40" s="91"/>
      <c r="BY40" s="91"/>
      <c r="BZ40" s="82"/>
      <c r="CA40" s="82"/>
      <c r="CB40" s="82"/>
      <c r="CC40" s="82"/>
      <c r="CD40" s="91"/>
      <c r="CE40" s="91"/>
      <c r="CF40" s="91"/>
      <c r="CG40" s="91"/>
      <c r="CH40" s="82"/>
      <c r="CI40" s="82"/>
      <c r="CJ40" s="82"/>
      <c r="CK40" s="82"/>
      <c r="CL40" s="91"/>
      <c r="CM40" s="91"/>
      <c r="CN40" s="91"/>
      <c r="CO40" s="91"/>
      <c r="CP40" s="82"/>
      <c r="CQ40" s="82"/>
      <c r="CR40" s="82"/>
      <c r="CS40" s="82"/>
      <c r="CT40" s="91"/>
      <c r="CU40" s="91"/>
      <c r="CV40" s="91"/>
      <c r="CW40" s="91"/>
      <c r="CX40" s="82"/>
      <c r="CY40" s="82"/>
      <c r="CZ40" s="82"/>
      <c r="DA40" s="82"/>
      <c r="DB40" s="91">
        <v>99481.188181818186</v>
      </c>
      <c r="DC40" s="82">
        <v>87046.039659090908</v>
      </c>
      <c r="DD40" s="91"/>
      <c r="DE40" s="101"/>
    </row>
    <row r="41" spans="1:109" x14ac:dyDescent="0.2">
      <c r="A41" s="14">
        <v>33</v>
      </c>
      <c r="B41" s="28" t="s">
        <v>382</v>
      </c>
      <c r="C41" s="14" t="s">
        <v>696</v>
      </c>
      <c r="D41" s="22"/>
      <c r="E41" s="24"/>
      <c r="F41" s="82" t="s">
        <v>950</v>
      </c>
      <c r="G41" s="82" t="s">
        <v>662</v>
      </c>
      <c r="H41" s="82">
        <v>0.31499999999999995</v>
      </c>
      <c r="I41" s="82">
        <v>31336.574277272724</v>
      </c>
      <c r="J41" s="91"/>
      <c r="K41" s="91"/>
      <c r="L41" s="91"/>
      <c r="M41" s="91"/>
      <c r="N41" s="82"/>
      <c r="O41" s="82"/>
      <c r="P41" s="82"/>
      <c r="Q41" s="82"/>
      <c r="R41" s="91"/>
      <c r="S41" s="91"/>
      <c r="T41" s="91"/>
      <c r="U41" s="91"/>
      <c r="V41" s="82"/>
      <c r="W41" s="82"/>
      <c r="X41" s="82"/>
      <c r="Y41" s="82"/>
      <c r="Z41" s="91"/>
      <c r="AA41" s="91"/>
      <c r="AB41" s="91"/>
      <c r="AC41" s="91"/>
      <c r="AD41" s="82"/>
      <c r="AE41" s="82"/>
      <c r="AF41" s="82"/>
      <c r="AG41" s="82"/>
      <c r="AH41" s="91"/>
      <c r="AI41" s="91"/>
      <c r="AJ41" s="91"/>
      <c r="AK41" s="91"/>
      <c r="AL41" s="82"/>
      <c r="AM41" s="82"/>
      <c r="AN41" s="82"/>
      <c r="AO41" s="82"/>
      <c r="AP41" s="91"/>
      <c r="AQ41" s="91"/>
      <c r="AR41" s="91"/>
      <c r="AS41" s="91"/>
      <c r="AT41" s="82"/>
      <c r="AU41" s="82"/>
      <c r="AV41" s="82"/>
      <c r="AW41" s="82"/>
      <c r="AX41" s="91"/>
      <c r="AY41" s="91"/>
      <c r="AZ41" s="91"/>
      <c r="BA41" s="91"/>
      <c r="BB41" s="82"/>
      <c r="BC41" s="82"/>
      <c r="BD41" s="82"/>
      <c r="BE41" s="82"/>
      <c r="BF41" s="91"/>
      <c r="BG41" s="91"/>
      <c r="BH41" s="91"/>
      <c r="BI41" s="91"/>
      <c r="BJ41" s="82"/>
      <c r="BK41" s="82"/>
      <c r="BL41" s="82"/>
      <c r="BM41" s="82"/>
      <c r="BN41" s="91"/>
      <c r="BO41" s="91"/>
      <c r="BP41" s="91"/>
      <c r="BQ41" s="91"/>
      <c r="BR41" s="82"/>
      <c r="BS41" s="82"/>
      <c r="BT41" s="82"/>
      <c r="BU41" s="82"/>
      <c r="BV41" s="91"/>
      <c r="BW41" s="91"/>
      <c r="BX41" s="91"/>
      <c r="BY41" s="91"/>
      <c r="BZ41" s="82"/>
      <c r="CA41" s="82"/>
      <c r="CB41" s="82"/>
      <c r="CC41" s="82"/>
      <c r="CD41" s="91"/>
      <c r="CE41" s="91"/>
      <c r="CF41" s="91"/>
      <c r="CG41" s="91"/>
      <c r="CH41" s="82"/>
      <c r="CI41" s="82"/>
      <c r="CJ41" s="82"/>
      <c r="CK41" s="82"/>
      <c r="CL41" s="91"/>
      <c r="CM41" s="91"/>
      <c r="CN41" s="91"/>
      <c r="CO41" s="91"/>
      <c r="CP41" s="82"/>
      <c r="CQ41" s="82"/>
      <c r="CR41" s="82"/>
      <c r="CS41" s="82"/>
      <c r="CT41" s="91"/>
      <c r="CU41" s="91"/>
      <c r="CV41" s="91"/>
      <c r="CW41" s="91"/>
      <c r="CX41" s="82"/>
      <c r="CY41" s="82"/>
      <c r="CZ41" s="82"/>
      <c r="DA41" s="82"/>
      <c r="DB41" s="91">
        <v>99481.188181818186</v>
      </c>
      <c r="DC41" s="82">
        <v>31336.574277272724</v>
      </c>
      <c r="DD41" s="91"/>
      <c r="DE41" s="101"/>
    </row>
    <row r="42" spans="1:109" x14ac:dyDescent="0.2">
      <c r="A42" s="14">
        <v>34</v>
      </c>
      <c r="B42" s="28" t="s">
        <v>383</v>
      </c>
      <c r="C42" s="14" t="s">
        <v>697</v>
      </c>
      <c r="D42" s="22"/>
      <c r="E42" s="24"/>
      <c r="F42" s="82"/>
      <c r="G42" s="82"/>
      <c r="H42" s="82"/>
      <c r="I42" s="82"/>
      <c r="J42" s="91"/>
      <c r="K42" s="91"/>
      <c r="L42" s="91"/>
      <c r="M42" s="91"/>
      <c r="N42" s="82"/>
      <c r="O42" s="82"/>
      <c r="P42" s="82"/>
      <c r="Q42" s="82"/>
      <c r="R42" s="91"/>
      <c r="S42" s="91"/>
      <c r="T42" s="91"/>
      <c r="U42" s="91"/>
      <c r="V42" s="82"/>
      <c r="W42" s="82"/>
      <c r="X42" s="82"/>
      <c r="Y42" s="82"/>
      <c r="Z42" s="91"/>
      <c r="AA42" s="91"/>
      <c r="AB42" s="91"/>
      <c r="AC42" s="91"/>
      <c r="AD42" s="82"/>
      <c r="AE42" s="82"/>
      <c r="AF42" s="82"/>
      <c r="AG42" s="82"/>
      <c r="AH42" s="91"/>
      <c r="AI42" s="91"/>
      <c r="AJ42" s="91"/>
      <c r="AK42" s="91"/>
      <c r="AL42" s="82"/>
      <c r="AM42" s="82"/>
      <c r="AN42" s="82"/>
      <c r="AO42" s="82"/>
      <c r="AP42" s="91"/>
      <c r="AQ42" s="91"/>
      <c r="AR42" s="91"/>
      <c r="AS42" s="91"/>
      <c r="AT42" s="82"/>
      <c r="AU42" s="82"/>
      <c r="AV42" s="82"/>
      <c r="AW42" s="82"/>
      <c r="AX42" s="91"/>
      <c r="AY42" s="91"/>
      <c r="AZ42" s="91"/>
      <c r="BA42" s="91"/>
      <c r="BB42" s="82"/>
      <c r="BC42" s="82"/>
      <c r="BD42" s="82"/>
      <c r="BE42" s="82"/>
      <c r="BF42" s="91"/>
      <c r="BG42" s="91"/>
      <c r="BH42" s="91"/>
      <c r="BI42" s="91"/>
      <c r="BJ42" s="82"/>
      <c r="BK42" s="82"/>
      <c r="BL42" s="82"/>
      <c r="BM42" s="82"/>
      <c r="BN42" s="91"/>
      <c r="BO42" s="91"/>
      <c r="BP42" s="91"/>
      <c r="BQ42" s="91"/>
      <c r="BR42" s="82"/>
      <c r="BS42" s="82"/>
      <c r="BT42" s="82"/>
      <c r="BU42" s="82"/>
      <c r="BV42" s="91"/>
      <c r="BW42" s="91"/>
      <c r="BX42" s="91"/>
      <c r="BY42" s="91"/>
      <c r="BZ42" s="82"/>
      <c r="CA42" s="82"/>
      <c r="CB42" s="82"/>
      <c r="CC42" s="82"/>
      <c r="CD42" s="91"/>
      <c r="CE42" s="91"/>
      <c r="CF42" s="91"/>
      <c r="CG42" s="91"/>
      <c r="CH42" s="82"/>
      <c r="CI42" s="82"/>
      <c r="CJ42" s="82"/>
      <c r="CK42" s="82"/>
      <c r="CL42" s="91"/>
      <c r="CM42" s="91"/>
      <c r="CN42" s="91"/>
      <c r="CO42" s="91"/>
      <c r="CP42" s="82"/>
      <c r="CQ42" s="82"/>
      <c r="CR42" s="82"/>
      <c r="CS42" s="82"/>
      <c r="CT42" s="91"/>
      <c r="CU42" s="91"/>
      <c r="CV42" s="91"/>
      <c r="CW42" s="91"/>
      <c r="CX42" s="82"/>
      <c r="CY42" s="82"/>
      <c r="CZ42" s="82"/>
      <c r="DA42" s="82"/>
      <c r="DB42" s="91"/>
      <c r="DC42" s="82"/>
      <c r="DD42" s="91"/>
      <c r="DE42" s="101"/>
    </row>
    <row r="43" spans="1:109" x14ac:dyDescent="0.2">
      <c r="A43" s="14">
        <v>35</v>
      </c>
      <c r="B43" s="28" t="s">
        <v>384</v>
      </c>
      <c r="C43" s="14" t="s">
        <v>698</v>
      </c>
      <c r="D43" s="22"/>
      <c r="E43" s="24"/>
      <c r="F43" s="82"/>
      <c r="G43" s="82"/>
      <c r="H43" s="82"/>
      <c r="I43" s="82"/>
      <c r="J43" s="91"/>
      <c r="K43" s="91"/>
      <c r="L43" s="91"/>
      <c r="M43" s="91"/>
      <c r="N43" s="82"/>
      <c r="O43" s="82"/>
      <c r="P43" s="82"/>
      <c r="Q43" s="82"/>
      <c r="R43" s="91"/>
      <c r="S43" s="91"/>
      <c r="T43" s="91"/>
      <c r="U43" s="91"/>
      <c r="V43" s="82"/>
      <c r="W43" s="82"/>
      <c r="X43" s="82"/>
      <c r="Y43" s="82"/>
      <c r="Z43" s="91"/>
      <c r="AA43" s="91"/>
      <c r="AB43" s="91"/>
      <c r="AC43" s="91"/>
      <c r="AD43" s="82"/>
      <c r="AE43" s="82"/>
      <c r="AF43" s="82"/>
      <c r="AG43" s="82"/>
      <c r="AH43" s="91"/>
      <c r="AI43" s="91"/>
      <c r="AJ43" s="91"/>
      <c r="AK43" s="91"/>
      <c r="AL43" s="82"/>
      <c r="AM43" s="82"/>
      <c r="AN43" s="82"/>
      <c r="AO43" s="82"/>
      <c r="AP43" s="91"/>
      <c r="AQ43" s="91"/>
      <c r="AR43" s="91"/>
      <c r="AS43" s="91"/>
      <c r="AT43" s="82"/>
      <c r="AU43" s="82"/>
      <c r="AV43" s="82"/>
      <c r="AW43" s="82"/>
      <c r="AX43" s="91"/>
      <c r="AY43" s="91"/>
      <c r="AZ43" s="91"/>
      <c r="BA43" s="91"/>
      <c r="BB43" s="82"/>
      <c r="BC43" s="82"/>
      <c r="BD43" s="82"/>
      <c r="BE43" s="82"/>
      <c r="BF43" s="91"/>
      <c r="BG43" s="91"/>
      <c r="BH43" s="91"/>
      <c r="BI43" s="91"/>
      <c r="BJ43" s="82"/>
      <c r="BK43" s="82"/>
      <c r="BL43" s="82"/>
      <c r="BM43" s="82"/>
      <c r="BN43" s="91"/>
      <c r="BO43" s="91"/>
      <c r="BP43" s="91"/>
      <c r="BQ43" s="91"/>
      <c r="BR43" s="82"/>
      <c r="BS43" s="82"/>
      <c r="BT43" s="82"/>
      <c r="BU43" s="82"/>
      <c r="BV43" s="91"/>
      <c r="BW43" s="91"/>
      <c r="BX43" s="91"/>
      <c r="BY43" s="91"/>
      <c r="BZ43" s="82"/>
      <c r="CA43" s="82"/>
      <c r="CB43" s="82"/>
      <c r="CC43" s="82"/>
      <c r="CD43" s="91"/>
      <c r="CE43" s="91"/>
      <c r="CF43" s="91"/>
      <c r="CG43" s="91"/>
      <c r="CH43" s="82"/>
      <c r="CI43" s="82"/>
      <c r="CJ43" s="82"/>
      <c r="CK43" s="82"/>
      <c r="CL43" s="91"/>
      <c r="CM43" s="91"/>
      <c r="CN43" s="91"/>
      <c r="CO43" s="91"/>
      <c r="CP43" s="82"/>
      <c r="CQ43" s="82"/>
      <c r="CR43" s="82"/>
      <c r="CS43" s="82"/>
      <c r="CT43" s="91"/>
      <c r="CU43" s="91"/>
      <c r="CV43" s="91"/>
      <c r="CW43" s="91"/>
      <c r="CX43" s="82"/>
      <c r="CY43" s="82"/>
      <c r="CZ43" s="82"/>
      <c r="DA43" s="82"/>
      <c r="DB43" s="91"/>
      <c r="DC43" s="82"/>
      <c r="DD43" s="91"/>
      <c r="DE43" s="101"/>
    </row>
    <row r="44" spans="1:109" x14ac:dyDescent="0.2">
      <c r="A44" s="14">
        <v>36</v>
      </c>
      <c r="B44" s="28" t="s">
        <v>385</v>
      </c>
      <c r="C44" s="14" t="s">
        <v>699</v>
      </c>
      <c r="D44" s="22"/>
      <c r="E44" s="24"/>
      <c r="F44" s="82" t="s">
        <v>965</v>
      </c>
      <c r="G44" s="82" t="s">
        <v>659</v>
      </c>
      <c r="H44" s="82">
        <v>1</v>
      </c>
      <c r="I44" s="82">
        <v>99481.188181818186</v>
      </c>
      <c r="J44" s="91"/>
      <c r="K44" s="91"/>
      <c r="L44" s="91"/>
      <c r="M44" s="91"/>
      <c r="N44" s="82"/>
      <c r="O44" s="82"/>
      <c r="P44" s="82"/>
      <c r="Q44" s="82"/>
      <c r="R44" s="91"/>
      <c r="S44" s="91"/>
      <c r="T44" s="91"/>
      <c r="U44" s="91"/>
      <c r="V44" s="82"/>
      <c r="W44" s="82"/>
      <c r="X44" s="82"/>
      <c r="Y44" s="82"/>
      <c r="Z44" s="91"/>
      <c r="AA44" s="91"/>
      <c r="AB44" s="91"/>
      <c r="AC44" s="91"/>
      <c r="AD44" s="82"/>
      <c r="AE44" s="82"/>
      <c r="AF44" s="82"/>
      <c r="AG44" s="82"/>
      <c r="AH44" s="91"/>
      <c r="AI44" s="91"/>
      <c r="AJ44" s="91"/>
      <c r="AK44" s="91"/>
      <c r="AL44" s="82"/>
      <c r="AM44" s="82"/>
      <c r="AN44" s="82"/>
      <c r="AO44" s="82"/>
      <c r="AP44" s="91"/>
      <c r="AQ44" s="91"/>
      <c r="AR44" s="91"/>
      <c r="AS44" s="91"/>
      <c r="AT44" s="82"/>
      <c r="AU44" s="82"/>
      <c r="AV44" s="82"/>
      <c r="AW44" s="82"/>
      <c r="AX44" s="91"/>
      <c r="AY44" s="91"/>
      <c r="AZ44" s="91"/>
      <c r="BA44" s="91"/>
      <c r="BB44" s="82"/>
      <c r="BC44" s="82"/>
      <c r="BD44" s="82"/>
      <c r="BE44" s="82"/>
      <c r="BF44" s="91"/>
      <c r="BG44" s="91"/>
      <c r="BH44" s="91"/>
      <c r="BI44" s="91"/>
      <c r="BJ44" s="82"/>
      <c r="BK44" s="82"/>
      <c r="BL44" s="82"/>
      <c r="BM44" s="82"/>
      <c r="BN44" s="91"/>
      <c r="BO44" s="91"/>
      <c r="BP44" s="91"/>
      <c r="BQ44" s="91"/>
      <c r="BR44" s="82"/>
      <c r="BS44" s="82"/>
      <c r="BT44" s="82"/>
      <c r="BU44" s="82"/>
      <c r="BV44" s="91"/>
      <c r="BW44" s="91"/>
      <c r="BX44" s="91"/>
      <c r="BY44" s="91"/>
      <c r="BZ44" s="82"/>
      <c r="CA44" s="82"/>
      <c r="CB44" s="82"/>
      <c r="CC44" s="82"/>
      <c r="CD44" s="91"/>
      <c r="CE44" s="91"/>
      <c r="CF44" s="91"/>
      <c r="CG44" s="91"/>
      <c r="CH44" s="82"/>
      <c r="CI44" s="82"/>
      <c r="CJ44" s="82"/>
      <c r="CK44" s="82"/>
      <c r="CL44" s="91"/>
      <c r="CM44" s="91"/>
      <c r="CN44" s="91"/>
      <c r="CO44" s="91"/>
      <c r="CP44" s="82"/>
      <c r="CQ44" s="82"/>
      <c r="CR44" s="82"/>
      <c r="CS44" s="82"/>
      <c r="CT44" s="91"/>
      <c r="CU44" s="91"/>
      <c r="CV44" s="91"/>
      <c r="CW44" s="91"/>
      <c r="CX44" s="82"/>
      <c r="CY44" s="82"/>
      <c r="CZ44" s="82"/>
      <c r="DA44" s="82"/>
      <c r="DB44" s="91">
        <v>99481.188181818186</v>
      </c>
      <c r="DC44" s="82">
        <v>99481.188181818186</v>
      </c>
      <c r="DD44" s="91"/>
      <c r="DE44" s="101"/>
    </row>
    <row r="45" spans="1:109" x14ac:dyDescent="0.2">
      <c r="A45" s="14">
        <v>37</v>
      </c>
      <c r="B45" s="28" t="s">
        <v>386</v>
      </c>
      <c r="C45" s="14" t="s">
        <v>700</v>
      </c>
      <c r="D45" s="22"/>
      <c r="E45" s="24"/>
      <c r="F45" s="82"/>
      <c r="G45" s="82"/>
      <c r="H45" s="82"/>
      <c r="I45" s="82"/>
      <c r="J45" s="91"/>
      <c r="K45" s="91"/>
      <c r="L45" s="91"/>
      <c r="M45" s="91"/>
      <c r="N45" s="82"/>
      <c r="O45" s="82"/>
      <c r="P45" s="82"/>
      <c r="Q45" s="82"/>
      <c r="R45" s="91"/>
      <c r="S45" s="91"/>
      <c r="T45" s="91"/>
      <c r="U45" s="91"/>
      <c r="V45" s="82"/>
      <c r="W45" s="82"/>
      <c r="X45" s="82"/>
      <c r="Y45" s="82"/>
      <c r="Z45" s="91"/>
      <c r="AA45" s="91"/>
      <c r="AB45" s="91"/>
      <c r="AC45" s="91"/>
      <c r="AD45" s="82"/>
      <c r="AE45" s="82"/>
      <c r="AF45" s="82"/>
      <c r="AG45" s="82"/>
      <c r="AH45" s="91"/>
      <c r="AI45" s="91"/>
      <c r="AJ45" s="91"/>
      <c r="AK45" s="91"/>
      <c r="AL45" s="82"/>
      <c r="AM45" s="82"/>
      <c r="AN45" s="82"/>
      <c r="AO45" s="82"/>
      <c r="AP45" s="91"/>
      <c r="AQ45" s="91"/>
      <c r="AR45" s="91"/>
      <c r="AS45" s="91"/>
      <c r="AT45" s="82"/>
      <c r="AU45" s="82"/>
      <c r="AV45" s="82"/>
      <c r="AW45" s="82"/>
      <c r="AX45" s="91"/>
      <c r="AY45" s="91"/>
      <c r="AZ45" s="91"/>
      <c r="BA45" s="91"/>
      <c r="BB45" s="82"/>
      <c r="BC45" s="82"/>
      <c r="BD45" s="82"/>
      <c r="BE45" s="82"/>
      <c r="BF45" s="91"/>
      <c r="BG45" s="91"/>
      <c r="BH45" s="91"/>
      <c r="BI45" s="91"/>
      <c r="BJ45" s="82"/>
      <c r="BK45" s="82"/>
      <c r="BL45" s="82"/>
      <c r="BM45" s="82"/>
      <c r="BN45" s="91"/>
      <c r="BO45" s="91"/>
      <c r="BP45" s="91"/>
      <c r="BQ45" s="91"/>
      <c r="BR45" s="82"/>
      <c r="BS45" s="82"/>
      <c r="BT45" s="82"/>
      <c r="BU45" s="82"/>
      <c r="BV45" s="91"/>
      <c r="BW45" s="91"/>
      <c r="BX45" s="91"/>
      <c r="BY45" s="91"/>
      <c r="BZ45" s="82"/>
      <c r="CA45" s="82"/>
      <c r="CB45" s="82"/>
      <c r="CC45" s="82"/>
      <c r="CD45" s="91"/>
      <c r="CE45" s="91"/>
      <c r="CF45" s="91"/>
      <c r="CG45" s="91"/>
      <c r="CH45" s="82"/>
      <c r="CI45" s="82"/>
      <c r="CJ45" s="82"/>
      <c r="CK45" s="82"/>
      <c r="CL45" s="91"/>
      <c r="CM45" s="91"/>
      <c r="CN45" s="91"/>
      <c r="CO45" s="91"/>
      <c r="CP45" s="82"/>
      <c r="CQ45" s="82"/>
      <c r="CR45" s="82"/>
      <c r="CS45" s="82"/>
      <c r="CT45" s="91"/>
      <c r="CU45" s="91"/>
      <c r="CV45" s="91"/>
      <c r="CW45" s="91"/>
      <c r="CX45" s="82"/>
      <c r="CY45" s="82"/>
      <c r="CZ45" s="82"/>
      <c r="DA45" s="82"/>
      <c r="DB45" s="91"/>
      <c r="DC45" s="82"/>
      <c r="DD45" s="91"/>
      <c r="DE45" s="101"/>
    </row>
    <row r="46" spans="1:109" x14ac:dyDescent="0.2">
      <c r="A46" s="14">
        <v>38</v>
      </c>
      <c r="B46" s="28" t="s">
        <v>387</v>
      </c>
      <c r="C46" s="14" t="s">
        <v>701</v>
      </c>
      <c r="D46" s="22"/>
      <c r="E46" s="24"/>
      <c r="F46" s="82"/>
      <c r="G46" s="82"/>
      <c r="H46" s="82"/>
      <c r="I46" s="82"/>
      <c r="J46" s="91"/>
      <c r="K46" s="91"/>
      <c r="L46" s="91"/>
      <c r="M46" s="91"/>
      <c r="N46" s="82"/>
      <c r="O46" s="82"/>
      <c r="P46" s="82"/>
      <c r="Q46" s="82"/>
      <c r="R46" s="91"/>
      <c r="S46" s="91"/>
      <c r="T46" s="91"/>
      <c r="U46" s="91"/>
      <c r="V46" s="82"/>
      <c r="W46" s="82"/>
      <c r="X46" s="82"/>
      <c r="Y46" s="82"/>
      <c r="Z46" s="91"/>
      <c r="AA46" s="91"/>
      <c r="AB46" s="91"/>
      <c r="AC46" s="91"/>
      <c r="AD46" s="82"/>
      <c r="AE46" s="82"/>
      <c r="AF46" s="82"/>
      <c r="AG46" s="82"/>
      <c r="AH46" s="91"/>
      <c r="AI46" s="91"/>
      <c r="AJ46" s="91"/>
      <c r="AK46" s="91"/>
      <c r="AL46" s="82"/>
      <c r="AM46" s="82"/>
      <c r="AN46" s="82"/>
      <c r="AO46" s="82"/>
      <c r="AP46" s="91"/>
      <c r="AQ46" s="91"/>
      <c r="AR46" s="91"/>
      <c r="AS46" s="91"/>
      <c r="AT46" s="82"/>
      <c r="AU46" s="82"/>
      <c r="AV46" s="82"/>
      <c r="AW46" s="82"/>
      <c r="AX46" s="91"/>
      <c r="AY46" s="91"/>
      <c r="AZ46" s="91"/>
      <c r="BA46" s="91"/>
      <c r="BB46" s="82"/>
      <c r="BC46" s="82"/>
      <c r="BD46" s="82"/>
      <c r="BE46" s="82"/>
      <c r="BF46" s="91"/>
      <c r="BG46" s="91"/>
      <c r="BH46" s="91"/>
      <c r="BI46" s="91"/>
      <c r="BJ46" s="82"/>
      <c r="BK46" s="82"/>
      <c r="BL46" s="82"/>
      <c r="BM46" s="82"/>
      <c r="BN46" s="91"/>
      <c r="BO46" s="91"/>
      <c r="BP46" s="91"/>
      <c r="BQ46" s="91"/>
      <c r="BR46" s="82"/>
      <c r="BS46" s="82"/>
      <c r="BT46" s="82"/>
      <c r="BU46" s="82"/>
      <c r="BV46" s="91"/>
      <c r="BW46" s="91"/>
      <c r="BX46" s="91"/>
      <c r="BY46" s="91"/>
      <c r="BZ46" s="82"/>
      <c r="CA46" s="82"/>
      <c r="CB46" s="82"/>
      <c r="CC46" s="82"/>
      <c r="CD46" s="91"/>
      <c r="CE46" s="91"/>
      <c r="CF46" s="91"/>
      <c r="CG46" s="91"/>
      <c r="CH46" s="82"/>
      <c r="CI46" s="82"/>
      <c r="CJ46" s="82"/>
      <c r="CK46" s="82"/>
      <c r="CL46" s="91"/>
      <c r="CM46" s="91"/>
      <c r="CN46" s="91"/>
      <c r="CO46" s="91"/>
      <c r="CP46" s="82"/>
      <c r="CQ46" s="82"/>
      <c r="CR46" s="82"/>
      <c r="CS46" s="82"/>
      <c r="CT46" s="91"/>
      <c r="CU46" s="91"/>
      <c r="CV46" s="91"/>
      <c r="CW46" s="91"/>
      <c r="CX46" s="82"/>
      <c r="CY46" s="82"/>
      <c r="CZ46" s="82"/>
      <c r="DA46" s="82"/>
      <c r="DB46" s="91"/>
      <c r="DC46" s="82"/>
      <c r="DD46" s="91"/>
      <c r="DE46" s="101"/>
    </row>
    <row r="47" spans="1:109" x14ac:dyDescent="0.2">
      <c r="A47" s="14">
        <v>39</v>
      </c>
      <c r="B47" s="28" t="s">
        <v>388</v>
      </c>
      <c r="C47" s="14" t="s">
        <v>702</v>
      </c>
      <c r="D47" s="22"/>
      <c r="E47" s="24"/>
      <c r="F47" s="82"/>
      <c r="G47" s="82"/>
      <c r="H47" s="82"/>
      <c r="I47" s="82"/>
      <c r="J47" s="91"/>
      <c r="K47" s="91"/>
      <c r="L47" s="91"/>
      <c r="M47" s="91"/>
      <c r="N47" s="98"/>
      <c r="O47" s="82"/>
      <c r="P47" s="82"/>
      <c r="Q47" s="82"/>
      <c r="R47" s="91"/>
      <c r="S47" s="91"/>
      <c r="T47" s="91"/>
      <c r="U47" s="91"/>
      <c r="V47" s="82"/>
      <c r="W47" s="82"/>
      <c r="X47" s="82"/>
      <c r="Y47" s="82"/>
      <c r="Z47" s="91"/>
      <c r="AA47" s="91"/>
      <c r="AB47" s="91"/>
      <c r="AC47" s="91"/>
      <c r="AD47" s="82"/>
      <c r="AE47" s="82"/>
      <c r="AF47" s="82"/>
      <c r="AG47" s="82"/>
      <c r="AH47" s="91"/>
      <c r="AI47" s="91"/>
      <c r="AJ47" s="91"/>
      <c r="AK47" s="91"/>
      <c r="AL47" s="82"/>
      <c r="AM47" s="82"/>
      <c r="AN47" s="82"/>
      <c r="AO47" s="82"/>
      <c r="AP47" s="91"/>
      <c r="AQ47" s="91"/>
      <c r="AR47" s="91"/>
      <c r="AS47" s="91"/>
      <c r="AT47" s="82"/>
      <c r="AU47" s="82"/>
      <c r="AV47" s="82"/>
      <c r="AW47" s="82"/>
      <c r="AX47" s="91"/>
      <c r="AY47" s="91"/>
      <c r="AZ47" s="91"/>
      <c r="BA47" s="91"/>
      <c r="BB47" s="82"/>
      <c r="BC47" s="82"/>
      <c r="BD47" s="82"/>
      <c r="BE47" s="82"/>
      <c r="BF47" s="91"/>
      <c r="BG47" s="91"/>
      <c r="BH47" s="91"/>
      <c r="BI47" s="91"/>
      <c r="BJ47" s="82"/>
      <c r="BK47" s="82"/>
      <c r="BL47" s="82"/>
      <c r="BM47" s="82"/>
      <c r="BN47" s="91"/>
      <c r="BO47" s="91"/>
      <c r="BP47" s="91"/>
      <c r="BQ47" s="91"/>
      <c r="BR47" s="82"/>
      <c r="BS47" s="82"/>
      <c r="BT47" s="82"/>
      <c r="BU47" s="82"/>
      <c r="BV47" s="91"/>
      <c r="BW47" s="91"/>
      <c r="BX47" s="91"/>
      <c r="BY47" s="91"/>
      <c r="BZ47" s="82"/>
      <c r="CA47" s="82"/>
      <c r="CB47" s="82"/>
      <c r="CC47" s="82"/>
      <c r="CD47" s="91"/>
      <c r="CE47" s="91"/>
      <c r="CF47" s="91"/>
      <c r="CG47" s="91"/>
      <c r="CH47" s="82"/>
      <c r="CI47" s="82"/>
      <c r="CJ47" s="82"/>
      <c r="CK47" s="82"/>
      <c r="CL47" s="91"/>
      <c r="CM47" s="91"/>
      <c r="CN47" s="91"/>
      <c r="CO47" s="91"/>
      <c r="CP47" s="82"/>
      <c r="CQ47" s="82"/>
      <c r="CR47" s="82"/>
      <c r="CS47" s="82"/>
      <c r="CT47" s="91"/>
      <c r="CU47" s="91"/>
      <c r="CV47" s="91"/>
      <c r="CW47" s="91"/>
      <c r="CX47" s="82"/>
      <c r="CY47" s="82"/>
      <c r="CZ47" s="82"/>
      <c r="DA47" s="82"/>
      <c r="DB47" s="91"/>
      <c r="DC47" s="82"/>
      <c r="DD47" s="91"/>
      <c r="DE47" s="101"/>
    </row>
    <row r="48" spans="1:109" x14ac:dyDescent="0.2">
      <c r="A48" s="14">
        <v>40</v>
      </c>
      <c r="B48" s="28" t="s">
        <v>389</v>
      </c>
      <c r="C48" s="14" t="s">
        <v>703</v>
      </c>
      <c r="D48" s="22"/>
      <c r="E48" s="24"/>
      <c r="F48" s="82"/>
      <c r="G48" s="82"/>
      <c r="H48" s="82"/>
      <c r="I48" s="82"/>
      <c r="J48" s="91"/>
      <c r="K48" s="91"/>
      <c r="L48" s="91"/>
      <c r="M48" s="91"/>
      <c r="N48" s="82"/>
      <c r="O48" s="82"/>
      <c r="P48" s="82"/>
      <c r="Q48" s="82"/>
      <c r="R48" s="91"/>
      <c r="S48" s="91"/>
      <c r="T48" s="91"/>
      <c r="U48" s="91"/>
      <c r="V48" s="82"/>
      <c r="W48" s="82"/>
      <c r="X48" s="82"/>
      <c r="Y48" s="82"/>
      <c r="Z48" s="91"/>
      <c r="AA48" s="91"/>
      <c r="AB48" s="91"/>
      <c r="AC48" s="91"/>
      <c r="AD48" s="82"/>
      <c r="AE48" s="82"/>
      <c r="AF48" s="82"/>
      <c r="AG48" s="82"/>
      <c r="AH48" s="91"/>
      <c r="AI48" s="91"/>
      <c r="AJ48" s="91"/>
      <c r="AK48" s="91"/>
      <c r="AL48" s="82"/>
      <c r="AM48" s="82"/>
      <c r="AN48" s="82"/>
      <c r="AO48" s="82"/>
      <c r="AP48" s="91"/>
      <c r="AQ48" s="91"/>
      <c r="AR48" s="91"/>
      <c r="AS48" s="91"/>
      <c r="AT48" s="82"/>
      <c r="AU48" s="82"/>
      <c r="AV48" s="82"/>
      <c r="AW48" s="82"/>
      <c r="AX48" s="91"/>
      <c r="AY48" s="91"/>
      <c r="AZ48" s="91"/>
      <c r="BA48" s="91"/>
      <c r="BB48" s="82"/>
      <c r="BC48" s="82"/>
      <c r="BD48" s="82"/>
      <c r="BE48" s="82"/>
      <c r="BF48" s="91"/>
      <c r="BG48" s="91"/>
      <c r="BH48" s="91"/>
      <c r="BI48" s="91"/>
      <c r="BJ48" s="82"/>
      <c r="BK48" s="82"/>
      <c r="BL48" s="82"/>
      <c r="BM48" s="82"/>
      <c r="BN48" s="91"/>
      <c r="BO48" s="91"/>
      <c r="BP48" s="91"/>
      <c r="BQ48" s="91"/>
      <c r="BR48" s="82"/>
      <c r="BS48" s="82"/>
      <c r="BT48" s="82"/>
      <c r="BU48" s="82"/>
      <c r="BV48" s="91"/>
      <c r="BW48" s="91"/>
      <c r="BX48" s="91"/>
      <c r="BY48" s="91"/>
      <c r="BZ48" s="82"/>
      <c r="CA48" s="82"/>
      <c r="CB48" s="82"/>
      <c r="CC48" s="82"/>
      <c r="CD48" s="91"/>
      <c r="CE48" s="91"/>
      <c r="CF48" s="91"/>
      <c r="CG48" s="91"/>
      <c r="CH48" s="82"/>
      <c r="CI48" s="82"/>
      <c r="CJ48" s="82"/>
      <c r="CK48" s="82"/>
      <c r="CL48" s="91"/>
      <c r="CM48" s="91"/>
      <c r="CN48" s="91"/>
      <c r="CO48" s="91"/>
      <c r="CP48" s="82"/>
      <c r="CQ48" s="82"/>
      <c r="CR48" s="82"/>
      <c r="CS48" s="82"/>
      <c r="CT48" s="91"/>
      <c r="CU48" s="91"/>
      <c r="CV48" s="91"/>
      <c r="CW48" s="91"/>
      <c r="CX48" s="82"/>
      <c r="CY48" s="82"/>
      <c r="CZ48" s="82"/>
      <c r="DA48" s="82"/>
      <c r="DB48" s="91"/>
      <c r="DC48" s="82"/>
      <c r="DD48" s="91"/>
      <c r="DE48" s="101"/>
    </row>
    <row r="49" spans="1:109" x14ac:dyDescent="0.2">
      <c r="A49" s="14">
        <v>41</v>
      </c>
      <c r="B49" s="28" t="s">
        <v>390</v>
      </c>
      <c r="C49" s="14" t="s">
        <v>704</v>
      </c>
      <c r="D49" s="22"/>
      <c r="E49" s="24"/>
      <c r="F49" s="82" t="s">
        <v>963</v>
      </c>
      <c r="G49" s="82" t="s">
        <v>659</v>
      </c>
      <c r="H49" s="82">
        <v>1</v>
      </c>
      <c r="I49" s="82">
        <v>93629.353636363638</v>
      </c>
      <c r="J49" s="91"/>
      <c r="K49" s="91"/>
      <c r="L49" s="91"/>
      <c r="M49" s="91"/>
      <c r="N49" s="82"/>
      <c r="O49" s="82"/>
      <c r="P49" s="82"/>
      <c r="Q49" s="82"/>
      <c r="R49" s="91"/>
      <c r="S49" s="91"/>
      <c r="T49" s="91"/>
      <c r="U49" s="91"/>
      <c r="V49" s="82"/>
      <c r="W49" s="82"/>
      <c r="X49" s="82"/>
      <c r="Y49" s="82"/>
      <c r="Z49" s="91"/>
      <c r="AA49" s="91"/>
      <c r="AB49" s="91"/>
      <c r="AC49" s="91"/>
      <c r="AD49" s="82"/>
      <c r="AE49" s="82"/>
      <c r="AF49" s="82"/>
      <c r="AG49" s="82"/>
      <c r="AH49" s="91"/>
      <c r="AI49" s="91"/>
      <c r="AJ49" s="91"/>
      <c r="AK49" s="91"/>
      <c r="AL49" s="82"/>
      <c r="AM49" s="82"/>
      <c r="AN49" s="82"/>
      <c r="AO49" s="82"/>
      <c r="AP49" s="91"/>
      <c r="AQ49" s="91"/>
      <c r="AR49" s="91"/>
      <c r="AS49" s="91"/>
      <c r="AT49" s="82"/>
      <c r="AU49" s="82"/>
      <c r="AV49" s="82"/>
      <c r="AW49" s="82"/>
      <c r="AX49" s="91"/>
      <c r="AY49" s="91"/>
      <c r="AZ49" s="91"/>
      <c r="BA49" s="91"/>
      <c r="BB49" s="82"/>
      <c r="BC49" s="82"/>
      <c r="BD49" s="82"/>
      <c r="BE49" s="82"/>
      <c r="BF49" s="91"/>
      <c r="BG49" s="91"/>
      <c r="BH49" s="91"/>
      <c r="BI49" s="91"/>
      <c r="BJ49" s="82"/>
      <c r="BK49" s="82"/>
      <c r="BL49" s="82"/>
      <c r="BM49" s="82"/>
      <c r="BN49" s="91"/>
      <c r="BO49" s="91"/>
      <c r="BP49" s="91"/>
      <c r="BQ49" s="91"/>
      <c r="BR49" s="82"/>
      <c r="BS49" s="82"/>
      <c r="BT49" s="82"/>
      <c r="BU49" s="82"/>
      <c r="BV49" s="91"/>
      <c r="BW49" s="91"/>
      <c r="BX49" s="91"/>
      <c r="BY49" s="91"/>
      <c r="BZ49" s="82"/>
      <c r="CA49" s="82"/>
      <c r="CB49" s="82"/>
      <c r="CC49" s="82"/>
      <c r="CD49" s="91"/>
      <c r="CE49" s="91"/>
      <c r="CF49" s="91"/>
      <c r="CG49" s="91"/>
      <c r="CH49" s="82"/>
      <c r="CI49" s="82"/>
      <c r="CJ49" s="82"/>
      <c r="CK49" s="82"/>
      <c r="CL49" s="91"/>
      <c r="CM49" s="91"/>
      <c r="CN49" s="91"/>
      <c r="CO49" s="91"/>
      <c r="CP49" s="82"/>
      <c r="CQ49" s="82"/>
      <c r="CR49" s="82"/>
      <c r="CS49" s="82"/>
      <c r="CT49" s="91"/>
      <c r="CU49" s="91"/>
      <c r="CV49" s="91"/>
      <c r="CW49" s="91"/>
      <c r="CX49" s="82"/>
      <c r="CY49" s="82"/>
      <c r="CZ49" s="82"/>
      <c r="DA49" s="82"/>
      <c r="DB49" s="91">
        <v>93629.353636363638</v>
      </c>
      <c r="DC49" s="82">
        <v>93629.353636363638</v>
      </c>
      <c r="DD49" s="91"/>
      <c r="DE49" s="101"/>
    </row>
    <row r="50" spans="1:109" x14ac:dyDescent="0.2">
      <c r="A50" s="14">
        <v>42</v>
      </c>
      <c r="B50" s="28" t="s">
        <v>391</v>
      </c>
      <c r="C50" s="14" t="s">
        <v>705</v>
      </c>
      <c r="D50" s="22"/>
      <c r="E50" s="24"/>
      <c r="F50" s="82" t="s">
        <v>957</v>
      </c>
      <c r="G50" s="82" t="s">
        <v>658</v>
      </c>
      <c r="H50" s="82">
        <v>0.875</v>
      </c>
      <c r="I50" s="82">
        <v>81925.684431818183</v>
      </c>
      <c r="J50" s="91" t="s">
        <v>945</v>
      </c>
      <c r="K50" s="91" t="s">
        <v>658</v>
      </c>
      <c r="L50" s="91">
        <v>1</v>
      </c>
      <c r="M50" s="91">
        <v>93629.353636363638</v>
      </c>
      <c r="N50" s="82"/>
      <c r="O50" s="82"/>
      <c r="P50" s="82"/>
      <c r="Q50" s="82"/>
      <c r="R50" s="91"/>
      <c r="S50" s="91"/>
      <c r="T50" s="91"/>
      <c r="U50" s="91"/>
      <c r="V50" s="82"/>
      <c r="W50" s="82"/>
      <c r="X50" s="82"/>
      <c r="Y50" s="82"/>
      <c r="Z50" s="91"/>
      <c r="AA50" s="91"/>
      <c r="AB50" s="91"/>
      <c r="AC50" s="91"/>
      <c r="AD50" s="82"/>
      <c r="AE50" s="82"/>
      <c r="AF50" s="82"/>
      <c r="AG50" s="82"/>
      <c r="AH50" s="91"/>
      <c r="AI50" s="91"/>
      <c r="AJ50" s="91"/>
      <c r="AK50" s="91"/>
      <c r="AL50" s="82"/>
      <c r="AM50" s="82"/>
      <c r="AN50" s="82"/>
      <c r="AO50" s="82"/>
      <c r="AP50" s="91"/>
      <c r="AQ50" s="91"/>
      <c r="AR50" s="91"/>
      <c r="AS50" s="91"/>
      <c r="AT50" s="82"/>
      <c r="AU50" s="82"/>
      <c r="AV50" s="82"/>
      <c r="AW50" s="82"/>
      <c r="AX50" s="91"/>
      <c r="AY50" s="91"/>
      <c r="AZ50" s="91"/>
      <c r="BA50" s="91"/>
      <c r="BB50" s="82"/>
      <c r="BC50" s="82"/>
      <c r="BD50" s="82"/>
      <c r="BE50" s="82"/>
      <c r="BF50" s="91"/>
      <c r="BG50" s="91"/>
      <c r="BH50" s="91"/>
      <c r="BI50" s="91"/>
      <c r="BJ50" s="82"/>
      <c r="BK50" s="82"/>
      <c r="BL50" s="82"/>
      <c r="BM50" s="82"/>
      <c r="BN50" s="91"/>
      <c r="BO50" s="91"/>
      <c r="BP50" s="91"/>
      <c r="BQ50" s="91"/>
      <c r="BR50" s="82"/>
      <c r="BS50" s="82"/>
      <c r="BT50" s="82"/>
      <c r="BU50" s="82"/>
      <c r="BV50" s="91"/>
      <c r="BW50" s="91"/>
      <c r="BX50" s="91"/>
      <c r="BY50" s="91"/>
      <c r="BZ50" s="82"/>
      <c r="CA50" s="82"/>
      <c r="CB50" s="82"/>
      <c r="CC50" s="82"/>
      <c r="CD50" s="91"/>
      <c r="CE50" s="91"/>
      <c r="CF50" s="91"/>
      <c r="CG50" s="91"/>
      <c r="CH50" s="82"/>
      <c r="CI50" s="82"/>
      <c r="CJ50" s="82"/>
      <c r="CK50" s="82"/>
      <c r="CL50" s="91"/>
      <c r="CM50" s="91"/>
      <c r="CN50" s="91"/>
      <c r="CO50" s="91"/>
      <c r="CP50" s="82"/>
      <c r="CQ50" s="82"/>
      <c r="CR50" s="82"/>
      <c r="CS50" s="82"/>
      <c r="CT50" s="91"/>
      <c r="CU50" s="91"/>
      <c r="CV50" s="91"/>
      <c r="CW50" s="91"/>
      <c r="CX50" s="82"/>
      <c r="CY50" s="82"/>
      <c r="CZ50" s="82"/>
      <c r="DA50" s="82"/>
      <c r="DB50" s="91">
        <v>93629.353636363638</v>
      </c>
      <c r="DC50" s="82">
        <v>175555.03806818184</v>
      </c>
      <c r="DD50" s="91"/>
      <c r="DE50" s="101"/>
    </row>
    <row r="51" spans="1:109" x14ac:dyDescent="0.2">
      <c r="A51" s="14">
        <v>43</v>
      </c>
      <c r="B51" s="28" t="s">
        <v>392</v>
      </c>
      <c r="C51" s="14" t="s">
        <v>706</v>
      </c>
      <c r="D51" s="22"/>
      <c r="E51" s="24"/>
      <c r="F51" s="82" t="s">
        <v>939</v>
      </c>
      <c r="G51" s="82" t="s">
        <v>657</v>
      </c>
      <c r="H51" s="82">
        <v>1</v>
      </c>
      <c r="I51" s="82">
        <v>93629.353636363638</v>
      </c>
      <c r="J51" s="91"/>
      <c r="K51" s="91"/>
      <c r="L51" s="91"/>
      <c r="M51" s="91"/>
      <c r="N51" s="82"/>
      <c r="O51" s="82"/>
      <c r="P51" s="82"/>
      <c r="Q51" s="82"/>
      <c r="R51" s="91"/>
      <c r="S51" s="91"/>
      <c r="T51" s="91"/>
      <c r="U51" s="91"/>
      <c r="V51" s="82"/>
      <c r="W51" s="82"/>
      <c r="X51" s="82"/>
      <c r="Y51" s="82"/>
      <c r="Z51" s="91"/>
      <c r="AA51" s="91"/>
      <c r="AB51" s="91"/>
      <c r="AC51" s="91"/>
      <c r="AD51" s="82"/>
      <c r="AE51" s="82"/>
      <c r="AF51" s="82"/>
      <c r="AG51" s="82"/>
      <c r="AH51" s="91"/>
      <c r="AI51" s="91"/>
      <c r="AJ51" s="91"/>
      <c r="AK51" s="91"/>
      <c r="AL51" s="82"/>
      <c r="AM51" s="82"/>
      <c r="AN51" s="82"/>
      <c r="AO51" s="82"/>
      <c r="AP51" s="91"/>
      <c r="AQ51" s="91"/>
      <c r="AR51" s="91"/>
      <c r="AS51" s="91"/>
      <c r="AT51" s="82"/>
      <c r="AU51" s="82"/>
      <c r="AV51" s="82"/>
      <c r="AW51" s="82"/>
      <c r="AX51" s="91"/>
      <c r="AY51" s="91"/>
      <c r="AZ51" s="91"/>
      <c r="BA51" s="91"/>
      <c r="BB51" s="82"/>
      <c r="BC51" s="82"/>
      <c r="BD51" s="82"/>
      <c r="BE51" s="82"/>
      <c r="BF51" s="91"/>
      <c r="BG51" s="91"/>
      <c r="BH51" s="91"/>
      <c r="BI51" s="91"/>
      <c r="BJ51" s="82"/>
      <c r="BK51" s="82"/>
      <c r="BL51" s="82"/>
      <c r="BM51" s="82"/>
      <c r="BN51" s="91"/>
      <c r="BO51" s="91"/>
      <c r="BP51" s="91"/>
      <c r="BQ51" s="91"/>
      <c r="BR51" s="82"/>
      <c r="BS51" s="82"/>
      <c r="BT51" s="82"/>
      <c r="BU51" s="82"/>
      <c r="BV51" s="91"/>
      <c r="BW51" s="91"/>
      <c r="BX51" s="91"/>
      <c r="BY51" s="91"/>
      <c r="BZ51" s="82"/>
      <c r="CA51" s="82"/>
      <c r="CB51" s="82"/>
      <c r="CC51" s="82"/>
      <c r="CD51" s="91"/>
      <c r="CE51" s="91"/>
      <c r="CF51" s="91"/>
      <c r="CG51" s="91"/>
      <c r="CH51" s="82"/>
      <c r="CI51" s="82"/>
      <c r="CJ51" s="82"/>
      <c r="CK51" s="82"/>
      <c r="CL51" s="91"/>
      <c r="CM51" s="91"/>
      <c r="CN51" s="91"/>
      <c r="CO51" s="91"/>
      <c r="CP51" s="82"/>
      <c r="CQ51" s="82"/>
      <c r="CR51" s="82"/>
      <c r="CS51" s="82"/>
      <c r="CT51" s="91"/>
      <c r="CU51" s="91"/>
      <c r="CV51" s="91"/>
      <c r="CW51" s="91"/>
      <c r="CX51" s="82"/>
      <c r="CY51" s="82"/>
      <c r="CZ51" s="82"/>
      <c r="DA51" s="82"/>
      <c r="DB51" s="91">
        <v>93629.353636363638</v>
      </c>
      <c r="DC51" s="82">
        <v>93629.353636363638</v>
      </c>
      <c r="DD51" s="91"/>
      <c r="DE51" s="101"/>
    </row>
    <row r="52" spans="1:109" x14ac:dyDescent="0.2">
      <c r="A52" s="14">
        <v>44</v>
      </c>
      <c r="B52" s="28" t="s">
        <v>586</v>
      </c>
      <c r="C52" s="14" t="s">
        <v>808</v>
      </c>
      <c r="D52" s="22"/>
      <c r="E52" s="24"/>
      <c r="F52" s="82" t="s">
        <v>949</v>
      </c>
      <c r="G52" s="82" t="s">
        <v>657</v>
      </c>
      <c r="H52" s="82">
        <v>1</v>
      </c>
      <c r="I52" s="82">
        <v>93629.353636363638</v>
      </c>
      <c r="J52" s="91"/>
      <c r="K52" s="91"/>
      <c r="L52" s="91"/>
      <c r="M52" s="91"/>
      <c r="N52" s="82"/>
      <c r="O52" s="82"/>
      <c r="P52" s="82"/>
      <c r="Q52" s="82"/>
      <c r="R52" s="91"/>
      <c r="S52" s="91"/>
      <c r="T52" s="91"/>
      <c r="U52" s="91"/>
      <c r="V52" s="82"/>
      <c r="W52" s="82"/>
      <c r="X52" s="82"/>
      <c r="Y52" s="82"/>
      <c r="Z52" s="91"/>
      <c r="AA52" s="91"/>
      <c r="AB52" s="91"/>
      <c r="AC52" s="91"/>
      <c r="AD52" s="82"/>
      <c r="AE52" s="82"/>
      <c r="AF52" s="82"/>
      <c r="AG52" s="82"/>
      <c r="AH52" s="91"/>
      <c r="AI52" s="91"/>
      <c r="AJ52" s="91"/>
      <c r="AK52" s="91"/>
      <c r="AL52" s="82"/>
      <c r="AM52" s="82"/>
      <c r="AN52" s="82"/>
      <c r="AO52" s="82"/>
      <c r="AP52" s="91"/>
      <c r="AQ52" s="91"/>
      <c r="AR52" s="91"/>
      <c r="AS52" s="91"/>
      <c r="AT52" s="82"/>
      <c r="AU52" s="82"/>
      <c r="AV52" s="82"/>
      <c r="AW52" s="82"/>
      <c r="AX52" s="91"/>
      <c r="AY52" s="91"/>
      <c r="AZ52" s="91"/>
      <c r="BA52" s="91"/>
      <c r="BB52" s="82"/>
      <c r="BC52" s="82"/>
      <c r="BD52" s="82"/>
      <c r="BE52" s="82"/>
      <c r="BF52" s="91"/>
      <c r="BG52" s="91"/>
      <c r="BH52" s="91"/>
      <c r="BI52" s="91"/>
      <c r="BJ52" s="82"/>
      <c r="BK52" s="82"/>
      <c r="BL52" s="82"/>
      <c r="BM52" s="82"/>
      <c r="BN52" s="91"/>
      <c r="BO52" s="91"/>
      <c r="BP52" s="91"/>
      <c r="BQ52" s="91"/>
      <c r="BR52" s="82"/>
      <c r="BS52" s="82"/>
      <c r="BT52" s="82"/>
      <c r="BU52" s="82"/>
      <c r="BV52" s="91"/>
      <c r="BW52" s="91"/>
      <c r="BX52" s="91"/>
      <c r="BY52" s="91"/>
      <c r="BZ52" s="82"/>
      <c r="CA52" s="82"/>
      <c r="CB52" s="82"/>
      <c r="CC52" s="82"/>
      <c r="CD52" s="91"/>
      <c r="CE52" s="91"/>
      <c r="CF52" s="91"/>
      <c r="CG52" s="91"/>
      <c r="CH52" s="82"/>
      <c r="CI52" s="82"/>
      <c r="CJ52" s="82"/>
      <c r="CK52" s="82"/>
      <c r="CL52" s="91"/>
      <c r="CM52" s="91"/>
      <c r="CN52" s="91"/>
      <c r="CO52" s="91"/>
      <c r="CP52" s="82"/>
      <c r="CQ52" s="82"/>
      <c r="CR52" s="82"/>
      <c r="CS52" s="82"/>
      <c r="CT52" s="91"/>
      <c r="CU52" s="91"/>
      <c r="CV52" s="91"/>
      <c r="CW52" s="91"/>
      <c r="CX52" s="82"/>
      <c r="CY52" s="82"/>
      <c r="CZ52" s="82"/>
      <c r="DA52" s="82"/>
      <c r="DB52" s="91">
        <v>93629.353636363638</v>
      </c>
      <c r="DC52" s="82">
        <v>93629.353636363638</v>
      </c>
      <c r="DD52" s="91"/>
      <c r="DE52" s="101"/>
    </row>
    <row r="53" spans="1:109" x14ac:dyDescent="0.2">
      <c r="A53" s="14">
        <v>45</v>
      </c>
      <c r="B53" s="28" t="s">
        <v>593</v>
      </c>
      <c r="C53" s="14" t="s">
        <v>707</v>
      </c>
      <c r="D53" s="22"/>
      <c r="E53" s="24"/>
      <c r="F53" s="82" t="s">
        <v>954</v>
      </c>
      <c r="G53" s="82" t="s">
        <v>657</v>
      </c>
      <c r="H53" s="82">
        <v>1</v>
      </c>
      <c r="I53" s="82">
        <v>93629.353636363638</v>
      </c>
      <c r="J53" s="91"/>
      <c r="K53" s="91"/>
      <c r="L53" s="91"/>
      <c r="M53" s="91"/>
      <c r="N53" s="82"/>
      <c r="O53" s="82"/>
      <c r="P53" s="82"/>
      <c r="Q53" s="82"/>
      <c r="R53" s="91"/>
      <c r="S53" s="91"/>
      <c r="T53" s="91"/>
      <c r="U53" s="91"/>
      <c r="V53" s="82"/>
      <c r="W53" s="82"/>
      <c r="X53" s="82"/>
      <c r="Y53" s="82"/>
      <c r="Z53" s="91"/>
      <c r="AA53" s="91"/>
      <c r="AB53" s="91"/>
      <c r="AC53" s="91"/>
      <c r="AD53" s="82"/>
      <c r="AE53" s="82"/>
      <c r="AF53" s="82"/>
      <c r="AG53" s="82"/>
      <c r="AH53" s="91"/>
      <c r="AI53" s="91"/>
      <c r="AJ53" s="91"/>
      <c r="AK53" s="91"/>
      <c r="AL53" s="82"/>
      <c r="AM53" s="82"/>
      <c r="AN53" s="82"/>
      <c r="AO53" s="82"/>
      <c r="AP53" s="91"/>
      <c r="AQ53" s="91"/>
      <c r="AR53" s="91"/>
      <c r="AS53" s="91"/>
      <c r="AT53" s="82"/>
      <c r="AU53" s="82"/>
      <c r="AV53" s="82"/>
      <c r="AW53" s="82"/>
      <c r="AX53" s="91"/>
      <c r="AY53" s="91"/>
      <c r="AZ53" s="91"/>
      <c r="BA53" s="91"/>
      <c r="BB53" s="82"/>
      <c r="BC53" s="82"/>
      <c r="BD53" s="82"/>
      <c r="BE53" s="82"/>
      <c r="BF53" s="91"/>
      <c r="BG53" s="91"/>
      <c r="BH53" s="91"/>
      <c r="BI53" s="91"/>
      <c r="BJ53" s="82"/>
      <c r="BK53" s="82"/>
      <c r="BL53" s="82"/>
      <c r="BM53" s="82"/>
      <c r="BN53" s="91"/>
      <c r="BO53" s="91"/>
      <c r="BP53" s="91"/>
      <c r="BQ53" s="91"/>
      <c r="BR53" s="82"/>
      <c r="BS53" s="82"/>
      <c r="BT53" s="82"/>
      <c r="BU53" s="82"/>
      <c r="BV53" s="91"/>
      <c r="BW53" s="91"/>
      <c r="BX53" s="91"/>
      <c r="BY53" s="91"/>
      <c r="BZ53" s="82"/>
      <c r="CA53" s="82"/>
      <c r="CB53" s="82"/>
      <c r="CC53" s="82"/>
      <c r="CD53" s="91"/>
      <c r="CE53" s="91"/>
      <c r="CF53" s="91"/>
      <c r="CG53" s="91"/>
      <c r="CH53" s="82"/>
      <c r="CI53" s="82"/>
      <c r="CJ53" s="82"/>
      <c r="CK53" s="82"/>
      <c r="CL53" s="91"/>
      <c r="CM53" s="91"/>
      <c r="CN53" s="91"/>
      <c r="CO53" s="91"/>
      <c r="CP53" s="82"/>
      <c r="CQ53" s="82"/>
      <c r="CR53" s="82"/>
      <c r="CS53" s="82"/>
      <c r="CT53" s="91"/>
      <c r="CU53" s="91"/>
      <c r="CV53" s="91"/>
      <c r="CW53" s="91"/>
      <c r="CX53" s="82"/>
      <c r="CY53" s="82"/>
      <c r="CZ53" s="82"/>
      <c r="DA53" s="82"/>
      <c r="DB53" s="91">
        <v>93629.353636363638</v>
      </c>
      <c r="DC53" s="82">
        <v>93629.353636363638</v>
      </c>
      <c r="DD53" s="91"/>
      <c r="DE53" s="101"/>
    </row>
    <row r="54" spans="1:109" x14ac:dyDescent="0.2">
      <c r="A54" s="14">
        <v>46</v>
      </c>
      <c r="B54" s="28" t="s">
        <v>594</v>
      </c>
      <c r="C54" s="14" t="s">
        <v>803</v>
      </c>
      <c r="D54" s="22"/>
      <c r="E54" s="24"/>
      <c r="F54" s="82" t="s">
        <v>950</v>
      </c>
      <c r="G54" s="82" t="s">
        <v>662</v>
      </c>
      <c r="H54" s="82">
        <v>0.16749999999999998</v>
      </c>
      <c r="I54" s="82">
        <v>15682.916734090908</v>
      </c>
      <c r="J54" s="91" t="s">
        <v>942</v>
      </c>
      <c r="K54" s="91" t="s">
        <v>662</v>
      </c>
      <c r="L54" s="91">
        <v>0.27625000000000011</v>
      </c>
      <c r="M54" s="91">
        <v>25865.108942045466</v>
      </c>
      <c r="N54" s="82" t="s">
        <v>957</v>
      </c>
      <c r="O54" s="82" t="s">
        <v>662</v>
      </c>
      <c r="P54" s="82">
        <v>0.4375</v>
      </c>
      <c r="Q54" s="82">
        <v>40962.842215909091</v>
      </c>
      <c r="R54" s="91" t="s">
        <v>960</v>
      </c>
      <c r="S54" s="91" t="s">
        <v>662</v>
      </c>
      <c r="T54" s="91">
        <v>0.28125</v>
      </c>
      <c r="U54" s="91">
        <v>26333.255710227273</v>
      </c>
      <c r="V54" s="82" t="s">
        <v>961</v>
      </c>
      <c r="W54" s="82" t="s">
        <v>662</v>
      </c>
      <c r="X54" s="82">
        <v>0.12875000000000014</v>
      </c>
      <c r="Y54" s="82">
        <v>12054.779280681832</v>
      </c>
      <c r="Z54" s="91" t="s">
        <v>965</v>
      </c>
      <c r="AA54" s="91" t="s">
        <v>662</v>
      </c>
      <c r="AB54" s="91">
        <v>0.16250000000000009</v>
      </c>
      <c r="AC54" s="91">
        <v>15214.769965909099</v>
      </c>
      <c r="AD54" s="82" t="s">
        <v>958</v>
      </c>
      <c r="AE54" s="82" t="s">
        <v>662</v>
      </c>
      <c r="AF54" s="82">
        <v>0.50749999999999984</v>
      </c>
      <c r="AG54" s="82">
        <v>47516.896970454531</v>
      </c>
      <c r="AH54" s="91" t="s">
        <v>941</v>
      </c>
      <c r="AI54" s="91" t="s">
        <v>657</v>
      </c>
      <c r="AJ54" s="91">
        <v>1.1299999999999999</v>
      </c>
      <c r="AK54" s="91">
        <v>105801.1696090909</v>
      </c>
      <c r="AL54" s="82" t="s">
        <v>946</v>
      </c>
      <c r="AM54" s="82" t="s">
        <v>662</v>
      </c>
      <c r="AN54" s="82">
        <v>0.16875000000000018</v>
      </c>
      <c r="AO54" s="82">
        <v>15799.953426136381</v>
      </c>
      <c r="AP54" s="91"/>
      <c r="AQ54" s="91"/>
      <c r="AR54" s="91"/>
      <c r="AS54" s="91"/>
      <c r="AT54" s="82"/>
      <c r="AU54" s="82"/>
      <c r="AV54" s="82"/>
      <c r="AW54" s="82"/>
      <c r="AX54" s="91"/>
      <c r="AY54" s="91"/>
      <c r="AZ54" s="91"/>
      <c r="BA54" s="91"/>
      <c r="BB54" s="82"/>
      <c r="BC54" s="82"/>
      <c r="BD54" s="82"/>
      <c r="BE54" s="82"/>
      <c r="BF54" s="91"/>
      <c r="BG54" s="91"/>
      <c r="BH54" s="91"/>
      <c r="BI54" s="91"/>
      <c r="BJ54" s="82"/>
      <c r="BK54" s="82"/>
      <c r="BL54" s="82"/>
      <c r="BM54" s="82"/>
      <c r="BN54" s="91"/>
      <c r="BO54" s="91"/>
      <c r="BP54" s="91"/>
      <c r="BQ54" s="91"/>
      <c r="BR54" s="82"/>
      <c r="BS54" s="82"/>
      <c r="BT54" s="82"/>
      <c r="BU54" s="82"/>
      <c r="BV54" s="91"/>
      <c r="BW54" s="91"/>
      <c r="BX54" s="91"/>
      <c r="BY54" s="91"/>
      <c r="BZ54" s="82"/>
      <c r="CA54" s="82"/>
      <c r="CB54" s="82"/>
      <c r="CC54" s="82"/>
      <c r="CD54" s="91"/>
      <c r="CE54" s="91"/>
      <c r="CF54" s="91"/>
      <c r="CG54" s="91"/>
      <c r="CH54" s="82"/>
      <c r="CI54" s="82"/>
      <c r="CJ54" s="82"/>
      <c r="CK54" s="82"/>
      <c r="CL54" s="91"/>
      <c r="CM54" s="91"/>
      <c r="CN54" s="91"/>
      <c r="CO54" s="91"/>
      <c r="CP54" s="82"/>
      <c r="CQ54" s="82"/>
      <c r="CR54" s="82"/>
      <c r="CS54" s="82"/>
      <c r="CT54" s="91"/>
      <c r="CU54" s="91"/>
      <c r="CV54" s="91"/>
      <c r="CW54" s="91"/>
      <c r="CX54" s="82"/>
      <c r="CY54" s="82"/>
      <c r="CZ54" s="82"/>
      <c r="DA54" s="82"/>
      <c r="DB54" s="91">
        <v>93629.353636363638</v>
      </c>
      <c r="DC54" s="82">
        <v>305231.69285454549</v>
      </c>
      <c r="DD54" s="91"/>
      <c r="DE54" s="101"/>
    </row>
    <row r="55" spans="1:109" x14ac:dyDescent="0.2">
      <c r="A55" s="14">
        <v>47</v>
      </c>
      <c r="B55" s="28" t="s">
        <v>606</v>
      </c>
      <c r="C55" s="14" t="s">
        <v>708</v>
      </c>
      <c r="D55" s="22"/>
      <c r="E55" s="24"/>
      <c r="F55" s="82" t="s">
        <v>908</v>
      </c>
      <c r="G55" s="82" t="s">
        <v>662</v>
      </c>
      <c r="H55" s="82">
        <v>0.67874999999999996</v>
      </c>
      <c r="I55" s="82">
        <v>67522.856478409085</v>
      </c>
      <c r="J55" s="91" t="s">
        <v>901</v>
      </c>
      <c r="K55" s="91" t="s">
        <v>662</v>
      </c>
      <c r="L55" s="91">
        <v>0.63499999999999979</v>
      </c>
      <c r="M55" s="91">
        <v>63170.554495454526</v>
      </c>
      <c r="N55" s="82" t="s">
        <v>909</v>
      </c>
      <c r="O55" s="82" t="s">
        <v>662</v>
      </c>
      <c r="P55" s="82">
        <v>0.66749999999999998</v>
      </c>
      <c r="Q55" s="82">
        <v>66403.693111363638</v>
      </c>
      <c r="R55" s="91"/>
      <c r="S55" s="91"/>
      <c r="T55" s="91"/>
      <c r="U55" s="91"/>
      <c r="V55" s="82"/>
      <c r="W55" s="82"/>
      <c r="X55" s="82"/>
      <c r="Y55" s="82"/>
      <c r="Z55" s="91"/>
      <c r="AA55" s="91"/>
      <c r="AB55" s="91"/>
      <c r="AC55" s="91"/>
      <c r="AD55" s="82"/>
      <c r="AE55" s="82"/>
      <c r="AF55" s="82"/>
      <c r="AG55" s="82"/>
      <c r="AH55" s="91"/>
      <c r="AI55" s="91"/>
      <c r="AJ55" s="91"/>
      <c r="AK55" s="91"/>
      <c r="AL55" s="82"/>
      <c r="AM55" s="82"/>
      <c r="AN55" s="82"/>
      <c r="AO55" s="82"/>
      <c r="AP55" s="91"/>
      <c r="AQ55" s="91"/>
      <c r="AR55" s="91"/>
      <c r="AS55" s="91"/>
      <c r="AT55" s="82"/>
      <c r="AU55" s="82"/>
      <c r="AV55" s="82"/>
      <c r="AW55" s="82"/>
      <c r="AX55" s="91"/>
      <c r="AY55" s="91"/>
      <c r="AZ55" s="91"/>
      <c r="BA55" s="91"/>
      <c r="BB55" s="82"/>
      <c r="BC55" s="82"/>
      <c r="BD55" s="82"/>
      <c r="BE55" s="82"/>
      <c r="BF55" s="91"/>
      <c r="BG55" s="91"/>
      <c r="BH55" s="91"/>
      <c r="BI55" s="91"/>
      <c r="BJ55" s="82"/>
      <c r="BK55" s="82"/>
      <c r="BL55" s="82"/>
      <c r="BM55" s="82"/>
      <c r="BN55" s="91"/>
      <c r="BO55" s="91"/>
      <c r="BP55" s="91"/>
      <c r="BQ55" s="91"/>
      <c r="BR55" s="82"/>
      <c r="BS55" s="82"/>
      <c r="BT55" s="82"/>
      <c r="BU55" s="82"/>
      <c r="BV55" s="91"/>
      <c r="BW55" s="91"/>
      <c r="BX55" s="91"/>
      <c r="BY55" s="91"/>
      <c r="BZ55" s="82"/>
      <c r="CA55" s="82"/>
      <c r="CB55" s="82"/>
      <c r="CC55" s="82"/>
      <c r="CD55" s="91"/>
      <c r="CE55" s="91"/>
      <c r="CF55" s="91"/>
      <c r="CG55" s="91"/>
      <c r="CH55" s="82"/>
      <c r="CI55" s="82"/>
      <c r="CJ55" s="82"/>
      <c r="CK55" s="82"/>
      <c r="CL55" s="91"/>
      <c r="CM55" s="91"/>
      <c r="CN55" s="91"/>
      <c r="CO55" s="91"/>
      <c r="CP55" s="82"/>
      <c r="CQ55" s="82"/>
      <c r="CR55" s="82"/>
      <c r="CS55" s="82"/>
      <c r="CT55" s="91"/>
      <c r="CU55" s="91"/>
      <c r="CV55" s="91"/>
      <c r="CW55" s="91"/>
      <c r="CX55" s="82"/>
      <c r="CY55" s="82"/>
      <c r="CZ55" s="82"/>
      <c r="DA55" s="82"/>
      <c r="DB55" s="91">
        <v>99481.188181818186</v>
      </c>
      <c r="DC55" s="82">
        <v>197097.10408522724</v>
      </c>
      <c r="DD55" s="91"/>
      <c r="DE55" s="101"/>
    </row>
    <row r="56" spans="1:109" x14ac:dyDescent="0.2">
      <c r="A56" s="14">
        <v>48</v>
      </c>
      <c r="B56" s="28" t="s">
        <v>599</v>
      </c>
      <c r="C56" s="14" t="s">
        <v>709</v>
      </c>
      <c r="D56" s="22"/>
      <c r="E56" s="24"/>
      <c r="F56" s="82"/>
      <c r="G56" s="82"/>
      <c r="H56" s="82"/>
      <c r="I56" s="82"/>
      <c r="J56" s="91"/>
      <c r="K56" s="91"/>
      <c r="L56" s="91"/>
      <c r="M56" s="91"/>
      <c r="N56" s="82"/>
      <c r="O56" s="82"/>
      <c r="P56" s="82"/>
      <c r="Q56" s="82"/>
      <c r="R56" s="91"/>
      <c r="S56" s="91"/>
      <c r="T56" s="91"/>
      <c r="U56" s="91"/>
      <c r="V56" s="82"/>
      <c r="W56" s="82"/>
      <c r="X56" s="82"/>
      <c r="Y56" s="82"/>
      <c r="Z56" s="91"/>
      <c r="AA56" s="91"/>
      <c r="AB56" s="91"/>
      <c r="AC56" s="91"/>
      <c r="AD56" s="82"/>
      <c r="AE56" s="82"/>
      <c r="AF56" s="82"/>
      <c r="AG56" s="82"/>
      <c r="AH56" s="91"/>
      <c r="AI56" s="91"/>
      <c r="AJ56" s="91"/>
      <c r="AK56" s="91"/>
      <c r="AL56" s="82"/>
      <c r="AM56" s="82"/>
      <c r="AN56" s="82"/>
      <c r="AO56" s="82"/>
      <c r="AP56" s="91"/>
      <c r="AQ56" s="91"/>
      <c r="AR56" s="91"/>
      <c r="AS56" s="91"/>
      <c r="AT56" s="82"/>
      <c r="AU56" s="82"/>
      <c r="AV56" s="82"/>
      <c r="AW56" s="82"/>
      <c r="AX56" s="91"/>
      <c r="AY56" s="91"/>
      <c r="AZ56" s="91"/>
      <c r="BA56" s="91"/>
      <c r="BB56" s="82"/>
      <c r="BC56" s="82"/>
      <c r="BD56" s="82"/>
      <c r="BE56" s="82"/>
      <c r="BF56" s="91"/>
      <c r="BG56" s="91"/>
      <c r="BH56" s="91"/>
      <c r="BI56" s="91"/>
      <c r="BJ56" s="82"/>
      <c r="BK56" s="82"/>
      <c r="BL56" s="82"/>
      <c r="BM56" s="82"/>
      <c r="BN56" s="91"/>
      <c r="BO56" s="91"/>
      <c r="BP56" s="91"/>
      <c r="BQ56" s="91"/>
      <c r="BR56" s="82"/>
      <c r="BS56" s="82"/>
      <c r="BT56" s="82"/>
      <c r="BU56" s="82"/>
      <c r="BV56" s="91"/>
      <c r="BW56" s="91"/>
      <c r="BX56" s="91"/>
      <c r="BY56" s="91"/>
      <c r="BZ56" s="82"/>
      <c r="CA56" s="82"/>
      <c r="CB56" s="82"/>
      <c r="CC56" s="82"/>
      <c r="CD56" s="91"/>
      <c r="CE56" s="91"/>
      <c r="CF56" s="91"/>
      <c r="CG56" s="91"/>
      <c r="CH56" s="82"/>
      <c r="CI56" s="82"/>
      <c r="CJ56" s="82"/>
      <c r="CK56" s="82"/>
      <c r="CL56" s="91"/>
      <c r="CM56" s="91"/>
      <c r="CN56" s="91"/>
      <c r="CO56" s="91"/>
      <c r="CP56" s="82"/>
      <c r="CQ56" s="82"/>
      <c r="CR56" s="82"/>
      <c r="CS56" s="82"/>
      <c r="CT56" s="91"/>
      <c r="CU56" s="91"/>
      <c r="CV56" s="91"/>
      <c r="CW56" s="91"/>
      <c r="CX56" s="82"/>
      <c r="CY56" s="82"/>
      <c r="CZ56" s="82"/>
      <c r="DA56" s="82"/>
      <c r="DB56" s="91"/>
      <c r="DC56" s="82"/>
      <c r="DD56" s="91"/>
      <c r="DE56" s="101"/>
    </row>
    <row r="57" spans="1:109" x14ac:dyDescent="0.2">
      <c r="A57" s="14">
        <v>49</v>
      </c>
      <c r="B57" s="28" t="s">
        <v>607</v>
      </c>
      <c r="C57" s="14" t="s">
        <v>809</v>
      </c>
      <c r="D57" s="22"/>
      <c r="E57" s="24"/>
      <c r="F57" s="82"/>
      <c r="G57" s="82"/>
      <c r="H57" s="82"/>
      <c r="I57" s="82"/>
      <c r="J57" s="91"/>
      <c r="K57" s="91"/>
      <c r="L57" s="91"/>
      <c r="M57" s="91"/>
      <c r="N57" s="82"/>
      <c r="O57" s="82"/>
      <c r="P57" s="82"/>
      <c r="Q57" s="82"/>
      <c r="R57" s="91"/>
      <c r="S57" s="91"/>
      <c r="T57" s="91"/>
      <c r="U57" s="91"/>
      <c r="V57" s="82"/>
      <c r="W57" s="82"/>
      <c r="X57" s="82"/>
      <c r="Y57" s="82"/>
      <c r="Z57" s="91"/>
      <c r="AA57" s="91"/>
      <c r="AB57" s="91"/>
      <c r="AC57" s="91"/>
      <c r="AD57" s="82"/>
      <c r="AE57" s="82"/>
      <c r="AF57" s="82"/>
      <c r="AG57" s="82"/>
      <c r="AH57" s="91"/>
      <c r="AI57" s="91"/>
      <c r="AJ57" s="91"/>
      <c r="AK57" s="91"/>
      <c r="AL57" s="82"/>
      <c r="AM57" s="82"/>
      <c r="AN57" s="82"/>
      <c r="AO57" s="82"/>
      <c r="AP57" s="91"/>
      <c r="AQ57" s="91"/>
      <c r="AR57" s="91"/>
      <c r="AS57" s="91"/>
      <c r="AT57" s="82"/>
      <c r="AU57" s="82"/>
      <c r="AV57" s="82"/>
      <c r="AW57" s="82"/>
      <c r="AX57" s="91"/>
      <c r="AY57" s="91"/>
      <c r="AZ57" s="91"/>
      <c r="BA57" s="91"/>
      <c r="BB57" s="82"/>
      <c r="BC57" s="82"/>
      <c r="BD57" s="82"/>
      <c r="BE57" s="82"/>
      <c r="BF57" s="91"/>
      <c r="BG57" s="91"/>
      <c r="BH57" s="91"/>
      <c r="BI57" s="91"/>
      <c r="BJ57" s="82"/>
      <c r="BK57" s="82"/>
      <c r="BL57" s="82"/>
      <c r="BM57" s="82"/>
      <c r="BN57" s="91"/>
      <c r="BO57" s="91"/>
      <c r="BP57" s="91"/>
      <c r="BQ57" s="91"/>
      <c r="BR57" s="82"/>
      <c r="BS57" s="82"/>
      <c r="BT57" s="82"/>
      <c r="BU57" s="82"/>
      <c r="BV57" s="91"/>
      <c r="BW57" s="91"/>
      <c r="BX57" s="91"/>
      <c r="BY57" s="91"/>
      <c r="BZ57" s="82"/>
      <c r="CA57" s="82"/>
      <c r="CB57" s="82"/>
      <c r="CC57" s="82"/>
      <c r="CD57" s="91"/>
      <c r="CE57" s="91"/>
      <c r="CF57" s="91"/>
      <c r="CG57" s="91"/>
      <c r="CH57" s="82"/>
      <c r="CI57" s="82"/>
      <c r="CJ57" s="82"/>
      <c r="CK57" s="82"/>
      <c r="CL57" s="91"/>
      <c r="CM57" s="91"/>
      <c r="CN57" s="91"/>
      <c r="CO57" s="91"/>
      <c r="CP57" s="82"/>
      <c r="CQ57" s="82"/>
      <c r="CR57" s="82"/>
      <c r="CS57" s="82"/>
      <c r="CT57" s="91"/>
      <c r="CU57" s="91"/>
      <c r="CV57" s="91"/>
      <c r="CW57" s="91"/>
      <c r="CX57" s="82"/>
      <c r="CY57" s="82"/>
      <c r="CZ57" s="82"/>
      <c r="DA57" s="82"/>
      <c r="DB57" s="91"/>
      <c r="DC57" s="82"/>
      <c r="DD57" s="91"/>
      <c r="DE57" s="101"/>
    </row>
    <row r="58" spans="1:109" x14ac:dyDescent="0.2">
      <c r="A58" s="14">
        <v>50</v>
      </c>
      <c r="B58" s="28" t="s">
        <v>613</v>
      </c>
      <c r="C58" s="14" t="s">
        <v>829</v>
      </c>
      <c r="D58" s="22"/>
      <c r="E58" s="24"/>
      <c r="F58" s="82" t="s">
        <v>950</v>
      </c>
      <c r="G58" s="82" t="s">
        <v>662</v>
      </c>
      <c r="H58" s="82">
        <v>0.88624999999999998</v>
      </c>
      <c r="I58" s="82">
        <v>88165.203026136369</v>
      </c>
      <c r="J58" s="91" t="s">
        <v>944</v>
      </c>
      <c r="K58" s="91" t="s">
        <v>662</v>
      </c>
      <c r="L58" s="91">
        <v>0.76500000000000012</v>
      </c>
      <c r="M58" s="91">
        <v>76103.108959090925</v>
      </c>
      <c r="N58" s="82" t="s">
        <v>961</v>
      </c>
      <c r="O58" s="82" t="s">
        <v>662</v>
      </c>
      <c r="P58" s="82">
        <v>0.88249999999999984</v>
      </c>
      <c r="Q58" s="82">
        <v>87792.148570454534</v>
      </c>
      <c r="R58" s="91"/>
      <c r="S58" s="91"/>
      <c r="T58" s="91"/>
      <c r="U58" s="91"/>
      <c r="V58" s="82"/>
      <c r="W58" s="82"/>
      <c r="X58" s="82"/>
      <c r="Y58" s="82"/>
      <c r="Z58" s="91"/>
      <c r="AA58" s="91"/>
      <c r="AB58" s="91"/>
      <c r="AC58" s="91"/>
      <c r="AD58" s="82"/>
      <c r="AE58" s="82"/>
      <c r="AF58" s="82"/>
      <c r="AG58" s="82"/>
      <c r="AH58" s="91"/>
      <c r="AI58" s="91"/>
      <c r="AJ58" s="91"/>
      <c r="AK58" s="91"/>
      <c r="AL58" s="82"/>
      <c r="AM58" s="82"/>
      <c r="AN58" s="82"/>
      <c r="AO58" s="82"/>
      <c r="AP58" s="91"/>
      <c r="AQ58" s="91"/>
      <c r="AR58" s="91"/>
      <c r="AS58" s="91"/>
      <c r="AT58" s="82"/>
      <c r="AU58" s="82"/>
      <c r="AV58" s="82"/>
      <c r="AW58" s="82"/>
      <c r="AX58" s="91"/>
      <c r="AY58" s="91"/>
      <c r="AZ58" s="91"/>
      <c r="BA58" s="91"/>
      <c r="BB58" s="82"/>
      <c r="BC58" s="82"/>
      <c r="BD58" s="82"/>
      <c r="BE58" s="82"/>
      <c r="BF58" s="91"/>
      <c r="BG58" s="91"/>
      <c r="BH58" s="91"/>
      <c r="BI58" s="91"/>
      <c r="BJ58" s="82"/>
      <c r="BK58" s="82"/>
      <c r="BL58" s="82"/>
      <c r="BM58" s="82"/>
      <c r="BN58" s="91"/>
      <c r="BO58" s="91"/>
      <c r="BP58" s="91"/>
      <c r="BQ58" s="91"/>
      <c r="BR58" s="82"/>
      <c r="BS58" s="82"/>
      <c r="BT58" s="82"/>
      <c r="BU58" s="82"/>
      <c r="BV58" s="91"/>
      <c r="BW58" s="91"/>
      <c r="BX58" s="91"/>
      <c r="BY58" s="91"/>
      <c r="BZ58" s="82"/>
      <c r="CA58" s="82"/>
      <c r="CB58" s="82"/>
      <c r="CC58" s="82"/>
      <c r="CD58" s="91"/>
      <c r="CE58" s="91"/>
      <c r="CF58" s="91"/>
      <c r="CG58" s="91"/>
      <c r="CH58" s="82"/>
      <c r="CI58" s="82"/>
      <c r="CJ58" s="82"/>
      <c r="CK58" s="82"/>
      <c r="CL58" s="91"/>
      <c r="CM58" s="91"/>
      <c r="CN58" s="91"/>
      <c r="CO58" s="91"/>
      <c r="CP58" s="82"/>
      <c r="CQ58" s="82"/>
      <c r="CR58" s="82"/>
      <c r="CS58" s="82"/>
      <c r="CT58" s="91"/>
      <c r="CU58" s="91"/>
      <c r="CV58" s="91"/>
      <c r="CW58" s="91"/>
      <c r="CX58" s="82"/>
      <c r="CY58" s="82"/>
      <c r="CZ58" s="82"/>
      <c r="DA58" s="82"/>
      <c r="DB58" s="91">
        <v>99481.188181818186</v>
      </c>
      <c r="DC58" s="82">
        <v>252060.46055568181</v>
      </c>
      <c r="DD58" s="91"/>
      <c r="DE58" s="101"/>
    </row>
    <row r="59" spans="1:109" x14ac:dyDescent="0.2">
      <c r="A59" s="14">
        <v>51</v>
      </c>
      <c r="B59" s="28" t="s">
        <v>819</v>
      </c>
      <c r="C59" s="14" t="s">
        <v>826</v>
      </c>
      <c r="D59" s="22"/>
      <c r="E59" s="24"/>
      <c r="F59" s="82" t="s">
        <v>950</v>
      </c>
      <c r="G59" s="82" t="s">
        <v>662</v>
      </c>
      <c r="H59" s="82">
        <v>0.79749999999999988</v>
      </c>
      <c r="I59" s="82">
        <v>79336.247574999987</v>
      </c>
      <c r="J59" s="91" t="s">
        <v>942</v>
      </c>
      <c r="K59" s="91" t="s">
        <v>662</v>
      </c>
      <c r="L59" s="91">
        <v>0.69249999999999989</v>
      </c>
      <c r="M59" s="91">
        <v>68890.722815909088</v>
      </c>
      <c r="N59" s="82" t="s">
        <v>943</v>
      </c>
      <c r="O59" s="82" t="s">
        <v>662</v>
      </c>
      <c r="P59" s="82">
        <v>0.39749999999999996</v>
      </c>
      <c r="Q59" s="82">
        <v>39543.772302272722</v>
      </c>
      <c r="R59" s="91" t="s">
        <v>963</v>
      </c>
      <c r="S59" s="91" t="s">
        <v>662</v>
      </c>
      <c r="T59" s="91">
        <v>0.64500000000000002</v>
      </c>
      <c r="U59" s="91">
        <v>64165.36637727273</v>
      </c>
      <c r="V59" s="82" t="s">
        <v>966</v>
      </c>
      <c r="W59" s="82" t="s">
        <v>662</v>
      </c>
      <c r="X59" s="82">
        <v>0.3762500000000002</v>
      </c>
      <c r="Y59" s="82">
        <v>37429.797053409115</v>
      </c>
      <c r="Z59" s="91" t="s">
        <v>955</v>
      </c>
      <c r="AA59" s="91" t="s">
        <v>662</v>
      </c>
      <c r="AB59" s="91">
        <v>0.30624999999999991</v>
      </c>
      <c r="AC59" s="91">
        <v>30466.113880681809</v>
      </c>
      <c r="AD59" s="82" t="s">
        <v>947</v>
      </c>
      <c r="AE59" s="82" t="s">
        <v>662</v>
      </c>
      <c r="AF59" s="82">
        <v>0.30624999999999991</v>
      </c>
      <c r="AG59" s="82">
        <v>30466.113880681809</v>
      </c>
      <c r="AH59" s="91" t="s">
        <v>962</v>
      </c>
      <c r="AI59" s="91" t="s">
        <v>662</v>
      </c>
      <c r="AJ59" s="91">
        <v>0.40249999999999986</v>
      </c>
      <c r="AK59" s="91">
        <v>40041.178243181806</v>
      </c>
      <c r="AL59" s="82" t="s">
        <v>952</v>
      </c>
      <c r="AM59" s="82" t="s">
        <v>662</v>
      </c>
      <c r="AN59" s="82">
        <v>0.42625000000000002</v>
      </c>
      <c r="AO59" s="82">
        <v>42403.856462500007</v>
      </c>
      <c r="AP59" s="91" t="s">
        <v>965</v>
      </c>
      <c r="AQ59" s="91" t="s">
        <v>662</v>
      </c>
      <c r="AR59" s="91">
        <v>0.4362499999999998</v>
      </c>
      <c r="AS59" s="91">
        <v>43398.668344318161</v>
      </c>
      <c r="AT59" s="82" t="s">
        <v>956</v>
      </c>
      <c r="AU59" s="82" t="s">
        <v>662</v>
      </c>
      <c r="AV59" s="82">
        <v>0.31875000000000009</v>
      </c>
      <c r="AW59" s="82">
        <v>31709.628732954556</v>
      </c>
      <c r="AX59" s="91" t="s">
        <v>946</v>
      </c>
      <c r="AY59" s="91" t="s">
        <v>662</v>
      </c>
      <c r="AZ59" s="91">
        <v>0.37749999999999995</v>
      </c>
      <c r="BA59" s="91">
        <v>37554.148538636357</v>
      </c>
      <c r="BB59" s="82"/>
      <c r="BC59" s="82"/>
      <c r="BD59" s="82"/>
      <c r="BE59" s="82"/>
      <c r="BF59" s="91"/>
      <c r="BG59" s="91"/>
      <c r="BH59" s="91"/>
      <c r="BI59" s="91"/>
      <c r="BJ59" s="82"/>
      <c r="BK59" s="82"/>
      <c r="BL59" s="82"/>
      <c r="BM59" s="82"/>
      <c r="BN59" s="91"/>
      <c r="BO59" s="91"/>
      <c r="BP59" s="91"/>
      <c r="BQ59" s="91"/>
      <c r="BR59" s="82"/>
      <c r="BS59" s="82"/>
      <c r="BT59" s="82"/>
      <c r="BU59" s="82"/>
      <c r="BV59" s="91"/>
      <c r="BW59" s="91"/>
      <c r="BX59" s="91"/>
      <c r="BY59" s="91"/>
      <c r="BZ59" s="82"/>
      <c r="CA59" s="82"/>
      <c r="CB59" s="82"/>
      <c r="CC59" s="82"/>
      <c r="CD59" s="91"/>
      <c r="CE59" s="91"/>
      <c r="CF59" s="91"/>
      <c r="CG59" s="91"/>
      <c r="CH59" s="82"/>
      <c r="CI59" s="82"/>
      <c r="CJ59" s="82"/>
      <c r="CK59" s="82"/>
      <c r="CL59" s="91"/>
      <c r="CM59" s="91"/>
      <c r="CN59" s="91"/>
      <c r="CO59" s="91"/>
      <c r="CP59" s="82"/>
      <c r="CQ59" s="82"/>
      <c r="CR59" s="82"/>
      <c r="CS59" s="82"/>
      <c r="CT59" s="91"/>
      <c r="CU59" s="91"/>
      <c r="CV59" s="91"/>
      <c r="CW59" s="91"/>
      <c r="CX59" s="82"/>
      <c r="CY59" s="82"/>
      <c r="CZ59" s="82"/>
      <c r="DA59" s="82"/>
      <c r="DB59" s="91">
        <v>99481.188181818186</v>
      </c>
      <c r="DC59" s="82">
        <v>545405.61420681817</v>
      </c>
      <c r="DD59" s="91"/>
      <c r="DE59" s="101"/>
    </row>
    <row r="60" spans="1:109" x14ac:dyDescent="0.2">
      <c r="A60" s="14">
        <v>52</v>
      </c>
      <c r="B60" s="28" t="s">
        <v>827</v>
      </c>
      <c r="C60" s="14" t="s">
        <v>881</v>
      </c>
      <c r="D60" s="22"/>
      <c r="E60" s="24"/>
      <c r="F60" s="82" t="s">
        <v>950</v>
      </c>
      <c r="G60" s="82" t="s">
        <v>658</v>
      </c>
      <c r="H60" s="82">
        <v>0.875</v>
      </c>
      <c r="I60" s="82">
        <v>81925.684431818183</v>
      </c>
      <c r="J60" s="91" t="s">
        <v>958</v>
      </c>
      <c r="K60" s="91" t="s">
        <v>659</v>
      </c>
      <c r="L60" s="91">
        <v>1</v>
      </c>
      <c r="M60" s="91">
        <v>93629.363636363632</v>
      </c>
      <c r="N60" s="82"/>
      <c r="O60" s="82"/>
      <c r="P60" s="82"/>
      <c r="Q60" s="82"/>
      <c r="R60" s="91"/>
      <c r="S60" s="91"/>
      <c r="T60" s="91"/>
      <c r="U60" s="91"/>
      <c r="V60" s="82"/>
      <c r="W60" s="82"/>
      <c r="X60" s="82"/>
      <c r="Y60" s="82"/>
      <c r="Z60" s="91"/>
      <c r="AA60" s="91"/>
      <c r="AB60" s="91"/>
      <c r="AC60" s="91"/>
      <c r="AD60" s="82"/>
      <c r="AE60" s="82"/>
      <c r="AF60" s="82"/>
      <c r="AG60" s="82"/>
      <c r="AH60" s="91"/>
      <c r="AI60" s="91"/>
      <c r="AJ60" s="91"/>
      <c r="AK60" s="91"/>
      <c r="AL60" s="82"/>
      <c r="AM60" s="82"/>
      <c r="AN60" s="82"/>
      <c r="AO60" s="82"/>
      <c r="AP60" s="91"/>
      <c r="AQ60" s="91"/>
      <c r="AR60" s="91"/>
      <c r="AS60" s="91"/>
      <c r="AT60" s="82"/>
      <c r="AU60" s="82"/>
      <c r="AV60" s="82"/>
      <c r="AW60" s="82"/>
      <c r="AX60" s="91"/>
      <c r="AY60" s="91"/>
      <c r="AZ60" s="91"/>
      <c r="BA60" s="91"/>
      <c r="BB60" s="82"/>
      <c r="BC60" s="82"/>
      <c r="BD60" s="82"/>
      <c r="BE60" s="82"/>
      <c r="BF60" s="91"/>
      <c r="BG60" s="91"/>
      <c r="BH60" s="91"/>
      <c r="BI60" s="91"/>
      <c r="BJ60" s="82"/>
      <c r="BK60" s="82"/>
      <c r="BL60" s="82"/>
      <c r="BM60" s="82"/>
      <c r="BN60" s="91"/>
      <c r="BO60" s="91"/>
      <c r="BP60" s="91"/>
      <c r="BQ60" s="91"/>
      <c r="BR60" s="82"/>
      <c r="BS60" s="82"/>
      <c r="BT60" s="82"/>
      <c r="BU60" s="82"/>
      <c r="BV60" s="91"/>
      <c r="BW60" s="91"/>
      <c r="BX60" s="91"/>
      <c r="BY60" s="91"/>
      <c r="BZ60" s="82"/>
      <c r="CA60" s="82"/>
      <c r="CB60" s="82"/>
      <c r="CC60" s="82"/>
      <c r="CD60" s="91"/>
      <c r="CE60" s="91"/>
      <c r="CF60" s="91"/>
      <c r="CG60" s="91"/>
      <c r="CH60" s="82"/>
      <c r="CI60" s="82"/>
      <c r="CJ60" s="82"/>
      <c r="CK60" s="82"/>
      <c r="CL60" s="91"/>
      <c r="CM60" s="91"/>
      <c r="CN60" s="91"/>
      <c r="CO60" s="91"/>
      <c r="CP60" s="82"/>
      <c r="CQ60" s="82"/>
      <c r="CR60" s="82"/>
      <c r="CS60" s="82"/>
      <c r="CT60" s="91"/>
      <c r="CU60" s="91"/>
      <c r="CV60" s="91"/>
      <c r="CW60" s="91"/>
      <c r="CX60" s="82"/>
      <c r="CY60" s="82"/>
      <c r="CZ60" s="82"/>
      <c r="DA60" s="82"/>
      <c r="DB60" s="91">
        <v>93629.353636363638</v>
      </c>
      <c r="DC60" s="82">
        <v>175555.04806818182</v>
      </c>
      <c r="DD60" s="91"/>
      <c r="DE60" s="101"/>
    </row>
    <row r="61" spans="1:109" x14ac:dyDescent="0.2">
      <c r="A61" s="14">
        <v>53</v>
      </c>
      <c r="B61" s="28" t="s">
        <v>610</v>
      </c>
      <c r="C61" s="14" t="s">
        <v>828</v>
      </c>
      <c r="D61" s="22"/>
      <c r="E61" s="24"/>
      <c r="F61" s="82" t="s">
        <v>957</v>
      </c>
      <c r="G61" s="82" t="s">
        <v>659</v>
      </c>
      <c r="H61" s="82">
        <v>1</v>
      </c>
      <c r="I61" s="82">
        <v>93629.353636363638</v>
      </c>
      <c r="J61" s="91" t="s">
        <v>962</v>
      </c>
      <c r="K61" s="91" t="s">
        <v>659</v>
      </c>
      <c r="L61" s="91">
        <v>1</v>
      </c>
      <c r="M61" s="91">
        <v>93629.363636363632</v>
      </c>
      <c r="N61" s="82"/>
      <c r="O61" s="82"/>
      <c r="P61" s="82"/>
      <c r="Q61" s="82"/>
      <c r="R61" s="91"/>
      <c r="S61" s="91"/>
      <c r="T61" s="91"/>
      <c r="U61" s="91"/>
      <c r="V61" s="82"/>
      <c r="W61" s="82"/>
      <c r="X61" s="82"/>
      <c r="Y61" s="82"/>
      <c r="Z61" s="91"/>
      <c r="AA61" s="91"/>
      <c r="AB61" s="91"/>
      <c r="AC61" s="91"/>
      <c r="AD61" s="82"/>
      <c r="AE61" s="82"/>
      <c r="AF61" s="82"/>
      <c r="AG61" s="82"/>
      <c r="AH61" s="91"/>
      <c r="AI61" s="91"/>
      <c r="AJ61" s="91"/>
      <c r="AK61" s="91"/>
      <c r="AL61" s="82"/>
      <c r="AM61" s="82"/>
      <c r="AN61" s="82"/>
      <c r="AO61" s="82"/>
      <c r="AP61" s="91"/>
      <c r="AQ61" s="91"/>
      <c r="AR61" s="91"/>
      <c r="AS61" s="91"/>
      <c r="AT61" s="82"/>
      <c r="AU61" s="82"/>
      <c r="AV61" s="82"/>
      <c r="AW61" s="82"/>
      <c r="AX61" s="91"/>
      <c r="AY61" s="91"/>
      <c r="AZ61" s="91"/>
      <c r="BA61" s="91"/>
      <c r="BB61" s="82"/>
      <c r="BC61" s="82"/>
      <c r="BD61" s="82"/>
      <c r="BE61" s="82"/>
      <c r="BF61" s="91"/>
      <c r="BG61" s="91"/>
      <c r="BH61" s="91"/>
      <c r="BI61" s="91"/>
      <c r="BJ61" s="82"/>
      <c r="BK61" s="82"/>
      <c r="BL61" s="82"/>
      <c r="BM61" s="82"/>
      <c r="BN61" s="91"/>
      <c r="BO61" s="91"/>
      <c r="BP61" s="91"/>
      <c r="BQ61" s="91"/>
      <c r="BR61" s="82"/>
      <c r="BS61" s="82"/>
      <c r="BT61" s="82"/>
      <c r="BU61" s="82"/>
      <c r="BV61" s="91"/>
      <c r="BW61" s="91"/>
      <c r="BX61" s="91"/>
      <c r="BY61" s="91"/>
      <c r="BZ61" s="82"/>
      <c r="CA61" s="82"/>
      <c r="CB61" s="82"/>
      <c r="CC61" s="82"/>
      <c r="CD61" s="91"/>
      <c r="CE61" s="91"/>
      <c r="CF61" s="91"/>
      <c r="CG61" s="91"/>
      <c r="CH61" s="82"/>
      <c r="CI61" s="82"/>
      <c r="CJ61" s="82"/>
      <c r="CK61" s="82"/>
      <c r="CL61" s="91"/>
      <c r="CM61" s="91"/>
      <c r="CN61" s="91"/>
      <c r="CO61" s="91"/>
      <c r="CP61" s="82"/>
      <c r="CQ61" s="82"/>
      <c r="CR61" s="82"/>
      <c r="CS61" s="82"/>
      <c r="CT61" s="91"/>
      <c r="CU61" s="91"/>
      <c r="CV61" s="91"/>
      <c r="CW61" s="91"/>
      <c r="CX61" s="82"/>
      <c r="CY61" s="82"/>
      <c r="CZ61" s="82"/>
      <c r="DA61" s="82"/>
      <c r="DB61" s="91">
        <v>93629.353636363638</v>
      </c>
      <c r="DC61" s="82">
        <v>187258.71727272728</v>
      </c>
      <c r="DD61" s="91"/>
      <c r="DE61" s="101"/>
    </row>
    <row r="62" spans="1:109" x14ac:dyDescent="0.2">
      <c r="A62" s="14">
        <v>54</v>
      </c>
      <c r="B62" s="28" t="s">
        <v>820</v>
      </c>
      <c r="C62" s="14" t="s">
        <v>836</v>
      </c>
      <c r="D62" s="22"/>
      <c r="E62" s="24"/>
      <c r="F62" s="82"/>
      <c r="G62" s="82"/>
      <c r="H62" s="82"/>
      <c r="I62" s="82"/>
      <c r="J62" s="91"/>
      <c r="K62" s="91"/>
      <c r="L62" s="91"/>
      <c r="M62" s="91"/>
      <c r="N62" s="82"/>
      <c r="O62" s="82"/>
      <c r="P62" s="82"/>
      <c r="Q62" s="82"/>
      <c r="R62" s="91"/>
      <c r="S62" s="91"/>
      <c r="T62" s="91"/>
      <c r="U62" s="91"/>
      <c r="V62" s="82"/>
      <c r="W62" s="82"/>
      <c r="X62" s="82"/>
      <c r="Y62" s="82"/>
      <c r="Z62" s="91"/>
      <c r="AA62" s="91"/>
      <c r="AB62" s="91"/>
      <c r="AC62" s="91"/>
      <c r="AD62" s="82"/>
      <c r="AE62" s="82"/>
      <c r="AF62" s="82"/>
      <c r="AG62" s="82"/>
      <c r="AH62" s="91"/>
      <c r="AI62" s="91"/>
      <c r="AJ62" s="91"/>
      <c r="AK62" s="91"/>
      <c r="AL62" s="82"/>
      <c r="AM62" s="82"/>
      <c r="AN62" s="82"/>
      <c r="AO62" s="82"/>
      <c r="AP62" s="91"/>
      <c r="AQ62" s="91"/>
      <c r="AR62" s="91"/>
      <c r="AS62" s="91"/>
      <c r="AT62" s="82"/>
      <c r="AU62" s="82"/>
      <c r="AV62" s="82"/>
      <c r="AW62" s="82"/>
      <c r="AX62" s="91"/>
      <c r="AY62" s="91"/>
      <c r="AZ62" s="91"/>
      <c r="BA62" s="91"/>
      <c r="BB62" s="82"/>
      <c r="BC62" s="82"/>
      <c r="BD62" s="82"/>
      <c r="BE62" s="82"/>
      <c r="BF62" s="91"/>
      <c r="BG62" s="91"/>
      <c r="BH62" s="91"/>
      <c r="BI62" s="91"/>
      <c r="BJ62" s="82"/>
      <c r="BK62" s="82"/>
      <c r="BL62" s="82"/>
      <c r="BM62" s="82"/>
      <c r="BN62" s="91"/>
      <c r="BO62" s="91"/>
      <c r="BP62" s="91"/>
      <c r="BQ62" s="91"/>
      <c r="BR62" s="82"/>
      <c r="BS62" s="82"/>
      <c r="BT62" s="82"/>
      <c r="BU62" s="82"/>
      <c r="BV62" s="91"/>
      <c r="BW62" s="91"/>
      <c r="BX62" s="91"/>
      <c r="BY62" s="91"/>
      <c r="BZ62" s="82"/>
      <c r="CA62" s="82"/>
      <c r="CB62" s="82"/>
      <c r="CC62" s="82"/>
      <c r="CD62" s="91"/>
      <c r="CE62" s="91"/>
      <c r="CF62" s="91"/>
      <c r="CG62" s="91"/>
      <c r="CH62" s="82"/>
      <c r="CI62" s="82"/>
      <c r="CJ62" s="82"/>
      <c r="CK62" s="82"/>
      <c r="CL62" s="91"/>
      <c r="CM62" s="91"/>
      <c r="CN62" s="91"/>
      <c r="CO62" s="91"/>
      <c r="CP62" s="82"/>
      <c r="CQ62" s="82"/>
      <c r="CR62" s="82"/>
      <c r="CS62" s="82"/>
      <c r="CT62" s="91"/>
      <c r="CU62" s="91"/>
      <c r="CV62" s="91"/>
      <c r="CW62" s="91"/>
      <c r="CX62" s="82"/>
      <c r="CY62" s="82"/>
      <c r="CZ62" s="82"/>
      <c r="DA62" s="82"/>
      <c r="DB62" s="91"/>
      <c r="DC62" s="82"/>
      <c r="DD62" s="91"/>
      <c r="DE62" s="101"/>
    </row>
    <row r="63" spans="1:109" x14ac:dyDescent="0.2">
      <c r="A63" s="14">
        <v>55</v>
      </c>
      <c r="B63" s="28" t="s">
        <v>611</v>
      </c>
      <c r="C63" s="14" t="s">
        <v>882</v>
      </c>
      <c r="D63" s="22"/>
      <c r="E63" s="24"/>
      <c r="F63" s="82" t="s">
        <v>942</v>
      </c>
      <c r="G63" s="82" t="s">
        <v>658</v>
      </c>
      <c r="H63" s="82">
        <v>1</v>
      </c>
      <c r="I63" s="82">
        <v>93629.353636363638</v>
      </c>
      <c r="J63" s="91" t="s">
        <v>963</v>
      </c>
      <c r="K63" s="91" t="s">
        <v>658</v>
      </c>
      <c r="L63" s="91">
        <v>1</v>
      </c>
      <c r="M63" s="91">
        <v>93629.353636363638</v>
      </c>
      <c r="N63" s="82" t="s">
        <v>954</v>
      </c>
      <c r="O63" s="82" t="s">
        <v>657</v>
      </c>
      <c r="P63" s="82">
        <v>1</v>
      </c>
      <c r="Q63" s="82">
        <v>93629.353636363638</v>
      </c>
      <c r="R63" s="91" t="s">
        <v>951</v>
      </c>
      <c r="S63" s="91" t="s">
        <v>658</v>
      </c>
      <c r="T63" s="91">
        <v>1</v>
      </c>
      <c r="U63" s="91">
        <v>93629.353636363638</v>
      </c>
      <c r="V63" s="82"/>
      <c r="W63" s="82"/>
      <c r="X63" s="82"/>
      <c r="Y63" s="82"/>
      <c r="Z63" s="91"/>
      <c r="AA63" s="91"/>
      <c r="AB63" s="91"/>
      <c r="AC63" s="91"/>
      <c r="AD63" s="82"/>
      <c r="AE63" s="82"/>
      <c r="AF63" s="82"/>
      <c r="AG63" s="82"/>
      <c r="AH63" s="91"/>
      <c r="AI63" s="91"/>
      <c r="AJ63" s="91"/>
      <c r="AK63" s="91"/>
      <c r="AL63" s="82"/>
      <c r="AM63" s="82"/>
      <c r="AN63" s="82"/>
      <c r="AO63" s="82"/>
      <c r="AP63" s="91"/>
      <c r="AQ63" s="91"/>
      <c r="AR63" s="91"/>
      <c r="AS63" s="91"/>
      <c r="AT63" s="82"/>
      <c r="AU63" s="82"/>
      <c r="AV63" s="82"/>
      <c r="AW63" s="82"/>
      <c r="AX63" s="91"/>
      <c r="AY63" s="91"/>
      <c r="AZ63" s="91"/>
      <c r="BA63" s="91"/>
      <c r="BB63" s="82"/>
      <c r="BC63" s="82"/>
      <c r="BD63" s="82"/>
      <c r="BE63" s="82"/>
      <c r="BF63" s="91"/>
      <c r="BG63" s="91"/>
      <c r="BH63" s="91"/>
      <c r="BI63" s="91"/>
      <c r="BJ63" s="82"/>
      <c r="BK63" s="82"/>
      <c r="BL63" s="82"/>
      <c r="BM63" s="82"/>
      <c r="BN63" s="91"/>
      <c r="BO63" s="91"/>
      <c r="BP63" s="91"/>
      <c r="BQ63" s="91"/>
      <c r="BR63" s="82"/>
      <c r="BS63" s="82"/>
      <c r="BT63" s="82"/>
      <c r="BU63" s="82"/>
      <c r="BV63" s="91"/>
      <c r="BW63" s="91"/>
      <c r="BX63" s="91"/>
      <c r="BY63" s="91"/>
      <c r="BZ63" s="82"/>
      <c r="CA63" s="82"/>
      <c r="CB63" s="82"/>
      <c r="CC63" s="82"/>
      <c r="CD63" s="91"/>
      <c r="CE63" s="91"/>
      <c r="CF63" s="91"/>
      <c r="CG63" s="91"/>
      <c r="CH63" s="82"/>
      <c r="CI63" s="82"/>
      <c r="CJ63" s="82"/>
      <c r="CK63" s="82"/>
      <c r="CL63" s="91"/>
      <c r="CM63" s="91"/>
      <c r="CN63" s="91"/>
      <c r="CO63" s="91"/>
      <c r="CP63" s="82"/>
      <c r="CQ63" s="82"/>
      <c r="CR63" s="82"/>
      <c r="CS63" s="82"/>
      <c r="CT63" s="91"/>
      <c r="CU63" s="91"/>
      <c r="CV63" s="91"/>
      <c r="CW63" s="91"/>
      <c r="CX63" s="82"/>
      <c r="CY63" s="82"/>
      <c r="CZ63" s="82"/>
      <c r="DA63" s="82"/>
      <c r="DB63" s="91">
        <v>93629.353636363638</v>
      </c>
      <c r="DC63" s="82">
        <v>374517.41454545455</v>
      </c>
      <c r="DD63" s="91"/>
      <c r="DE63" s="101"/>
    </row>
    <row r="64" spans="1:109" x14ac:dyDescent="0.2">
      <c r="A64" s="14">
        <v>56</v>
      </c>
      <c r="B64" s="28" t="s">
        <v>847</v>
      </c>
      <c r="C64" s="14" t="s">
        <v>883</v>
      </c>
      <c r="D64" s="22"/>
      <c r="E64" s="24"/>
      <c r="F64" s="82" t="s">
        <v>950</v>
      </c>
      <c r="G64" s="82" t="s">
        <v>658</v>
      </c>
      <c r="H64" s="82">
        <v>0.875</v>
      </c>
      <c r="I64" s="82">
        <v>81925.684431818183</v>
      </c>
      <c r="J64" s="91" t="s">
        <v>947</v>
      </c>
      <c r="K64" s="91" t="s">
        <v>658</v>
      </c>
      <c r="L64" s="91">
        <v>0.875</v>
      </c>
      <c r="M64" s="91">
        <v>81925.693181818177</v>
      </c>
      <c r="N64" s="82" t="s">
        <v>958</v>
      </c>
      <c r="O64" s="82" t="s">
        <v>658</v>
      </c>
      <c r="P64" s="82">
        <v>0.875</v>
      </c>
      <c r="Q64" s="82">
        <v>81925.693181818177</v>
      </c>
      <c r="R64" s="91"/>
      <c r="S64" s="91"/>
      <c r="T64" s="91"/>
      <c r="U64" s="91"/>
      <c r="V64" s="82"/>
      <c r="W64" s="82"/>
      <c r="X64" s="82"/>
      <c r="Y64" s="82"/>
      <c r="Z64" s="91"/>
      <c r="AA64" s="91"/>
      <c r="AB64" s="91"/>
      <c r="AC64" s="91"/>
      <c r="AD64" s="82"/>
      <c r="AE64" s="82"/>
      <c r="AF64" s="82"/>
      <c r="AG64" s="82"/>
      <c r="AH64" s="91"/>
      <c r="AI64" s="91"/>
      <c r="AJ64" s="91"/>
      <c r="AK64" s="91"/>
      <c r="AL64" s="82"/>
      <c r="AM64" s="82"/>
      <c r="AN64" s="82"/>
      <c r="AO64" s="82"/>
      <c r="AP64" s="91"/>
      <c r="AQ64" s="91"/>
      <c r="AR64" s="91"/>
      <c r="AS64" s="91"/>
      <c r="AT64" s="82"/>
      <c r="AU64" s="82"/>
      <c r="AV64" s="82"/>
      <c r="AW64" s="82"/>
      <c r="AX64" s="91"/>
      <c r="AY64" s="91"/>
      <c r="AZ64" s="91"/>
      <c r="BA64" s="91"/>
      <c r="BB64" s="82"/>
      <c r="BC64" s="82"/>
      <c r="BD64" s="82"/>
      <c r="BE64" s="82"/>
      <c r="BF64" s="91"/>
      <c r="BG64" s="91"/>
      <c r="BH64" s="91"/>
      <c r="BI64" s="91"/>
      <c r="BJ64" s="82"/>
      <c r="BK64" s="82"/>
      <c r="BL64" s="82"/>
      <c r="BM64" s="82"/>
      <c r="BN64" s="91"/>
      <c r="BO64" s="91"/>
      <c r="BP64" s="91"/>
      <c r="BQ64" s="91"/>
      <c r="BR64" s="82"/>
      <c r="BS64" s="82"/>
      <c r="BT64" s="82"/>
      <c r="BU64" s="82"/>
      <c r="BV64" s="91"/>
      <c r="BW64" s="91"/>
      <c r="BX64" s="91"/>
      <c r="BY64" s="91"/>
      <c r="BZ64" s="82"/>
      <c r="CA64" s="82"/>
      <c r="CB64" s="82"/>
      <c r="CC64" s="82"/>
      <c r="CD64" s="91"/>
      <c r="CE64" s="91"/>
      <c r="CF64" s="91"/>
      <c r="CG64" s="91"/>
      <c r="CH64" s="82"/>
      <c r="CI64" s="82"/>
      <c r="CJ64" s="82"/>
      <c r="CK64" s="82"/>
      <c r="CL64" s="91"/>
      <c r="CM64" s="91"/>
      <c r="CN64" s="91"/>
      <c r="CO64" s="91"/>
      <c r="CP64" s="82"/>
      <c r="CQ64" s="82"/>
      <c r="CR64" s="82"/>
      <c r="CS64" s="82"/>
      <c r="CT64" s="91"/>
      <c r="CU64" s="91"/>
      <c r="CV64" s="91"/>
      <c r="CW64" s="91"/>
      <c r="CX64" s="82"/>
      <c r="CY64" s="82"/>
      <c r="CZ64" s="82"/>
      <c r="DA64" s="82"/>
      <c r="DB64" s="91">
        <v>93629.353636363638</v>
      </c>
      <c r="DC64" s="82">
        <v>245777.07079545455</v>
      </c>
      <c r="DD64" s="91"/>
      <c r="DE64" s="101"/>
    </row>
    <row r="65" spans="1:109" x14ac:dyDescent="0.2">
      <c r="A65" s="14">
        <v>57</v>
      </c>
      <c r="B65" s="28" t="s">
        <v>841</v>
      </c>
      <c r="C65" s="14" t="s">
        <v>884</v>
      </c>
      <c r="D65" s="22"/>
      <c r="E65" s="24"/>
      <c r="F65" s="82" t="s">
        <v>951</v>
      </c>
      <c r="G65" s="82" t="s">
        <v>657</v>
      </c>
      <c r="H65" s="82">
        <v>1</v>
      </c>
      <c r="I65" s="82">
        <v>93629.353636363638</v>
      </c>
      <c r="J65" s="91"/>
      <c r="K65" s="91"/>
      <c r="L65" s="91"/>
      <c r="M65" s="91"/>
      <c r="N65" s="82"/>
      <c r="O65" s="82"/>
      <c r="P65" s="82"/>
      <c r="Q65" s="82"/>
      <c r="R65" s="91"/>
      <c r="S65" s="91"/>
      <c r="T65" s="91"/>
      <c r="U65" s="91"/>
      <c r="V65" s="82"/>
      <c r="W65" s="82"/>
      <c r="X65" s="82"/>
      <c r="Y65" s="82"/>
      <c r="Z65" s="91"/>
      <c r="AA65" s="91"/>
      <c r="AB65" s="91"/>
      <c r="AC65" s="91"/>
      <c r="AD65" s="82"/>
      <c r="AE65" s="82"/>
      <c r="AF65" s="82"/>
      <c r="AG65" s="82"/>
      <c r="AH65" s="91"/>
      <c r="AI65" s="91"/>
      <c r="AJ65" s="91"/>
      <c r="AK65" s="91"/>
      <c r="AL65" s="82"/>
      <c r="AM65" s="82"/>
      <c r="AN65" s="82"/>
      <c r="AO65" s="82"/>
      <c r="AP65" s="91"/>
      <c r="AQ65" s="91"/>
      <c r="AR65" s="91"/>
      <c r="AS65" s="91"/>
      <c r="AT65" s="82"/>
      <c r="AU65" s="82"/>
      <c r="AV65" s="82"/>
      <c r="AW65" s="82"/>
      <c r="AX65" s="91"/>
      <c r="AY65" s="91"/>
      <c r="AZ65" s="91"/>
      <c r="BA65" s="91"/>
      <c r="BB65" s="82"/>
      <c r="BC65" s="82"/>
      <c r="BD65" s="82"/>
      <c r="BE65" s="82"/>
      <c r="BF65" s="91"/>
      <c r="BG65" s="91"/>
      <c r="BH65" s="91"/>
      <c r="BI65" s="91"/>
      <c r="BJ65" s="82"/>
      <c r="BK65" s="82"/>
      <c r="BL65" s="82"/>
      <c r="BM65" s="82"/>
      <c r="BN65" s="91"/>
      <c r="BO65" s="91"/>
      <c r="BP65" s="91"/>
      <c r="BQ65" s="91"/>
      <c r="BR65" s="82"/>
      <c r="BS65" s="82"/>
      <c r="BT65" s="82"/>
      <c r="BU65" s="82"/>
      <c r="BV65" s="91"/>
      <c r="BW65" s="91"/>
      <c r="BX65" s="91"/>
      <c r="BY65" s="91"/>
      <c r="BZ65" s="82"/>
      <c r="CA65" s="82"/>
      <c r="CB65" s="82"/>
      <c r="CC65" s="82"/>
      <c r="CD65" s="91"/>
      <c r="CE65" s="91"/>
      <c r="CF65" s="91"/>
      <c r="CG65" s="91"/>
      <c r="CH65" s="82"/>
      <c r="CI65" s="82"/>
      <c r="CJ65" s="82"/>
      <c r="CK65" s="82"/>
      <c r="CL65" s="91"/>
      <c r="CM65" s="91"/>
      <c r="CN65" s="91"/>
      <c r="CO65" s="91"/>
      <c r="CP65" s="82"/>
      <c r="CQ65" s="82"/>
      <c r="CR65" s="82"/>
      <c r="CS65" s="82"/>
      <c r="CT65" s="91"/>
      <c r="CU65" s="91"/>
      <c r="CV65" s="91"/>
      <c r="CW65" s="91"/>
      <c r="CX65" s="82"/>
      <c r="CY65" s="82"/>
      <c r="CZ65" s="82"/>
      <c r="DA65" s="82"/>
      <c r="DB65" s="91">
        <v>93629.353636363638</v>
      </c>
      <c r="DC65" s="82">
        <v>93629.353636363638</v>
      </c>
      <c r="DD65" s="91"/>
      <c r="DE65" s="101"/>
    </row>
    <row r="66" spans="1:109" x14ac:dyDescent="0.2">
      <c r="A66" s="14">
        <v>58</v>
      </c>
      <c r="B66" s="28" t="s">
        <v>848</v>
      </c>
      <c r="C66" s="14" t="s">
        <v>885</v>
      </c>
      <c r="D66" s="22"/>
      <c r="E66" s="24"/>
      <c r="F66" s="82" t="s">
        <v>941</v>
      </c>
      <c r="G66" s="82" t="s">
        <v>657</v>
      </c>
      <c r="H66" s="82">
        <v>1</v>
      </c>
      <c r="I66" s="82">
        <v>93629.353636363638</v>
      </c>
      <c r="J66" s="91" t="s">
        <v>953</v>
      </c>
      <c r="K66" s="91" t="s">
        <v>657</v>
      </c>
      <c r="L66" s="91">
        <v>1</v>
      </c>
      <c r="M66" s="91">
        <v>93629.353636363638</v>
      </c>
      <c r="N66" s="82"/>
      <c r="O66" s="82"/>
      <c r="P66" s="82"/>
      <c r="Q66" s="82"/>
      <c r="R66" s="91"/>
      <c r="S66" s="91"/>
      <c r="T66" s="91"/>
      <c r="U66" s="91"/>
      <c r="V66" s="82"/>
      <c r="W66" s="82"/>
      <c r="X66" s="82"/>
      <c r="Y66" s="82"/>
      <c r="Z66" s="91"/>
      <c r="AA66" s="91"/>
      <c r="AB66" s="91"/>
      <c r="AC66" s="91"/>
      <c r="AD66" s="82"/>
      <c r="AE66" s="82"/>
      <c r="AF66" s="82"/>
      <c r="AG66" s="82"/>
      <c r="AH66" s="91"/>
      <c r="AI66" s="91"/>
      <c r="AJ66" s="91"/>
      <c r="AK66" s="91"/>
      <c r="AL66" s="82"/>
      <c r="AM66" s="82"/>
      <c r="AN66" s="82"/>
      <c r="AO66" s="82"/>
      <c r="AP66" s="91"/>
      <c r="AQ66" s="91"/>
      <c r="AR66" s="91"/>
      <c r="AS66" s="91"/>
      <c r="AT66" s="82"/>
      <c r="AU66" s="82"/>
      <c r="AV66" s="82"/>
      <c r="AW66" s="82"/>
      <c r="AX66" s="91"/>
      <c r="AY66" s="91"/>
      <c r="AZ66" s="91"/>
      <c r="BA66" s="91"/>
      <c r="BB66" s="82"/>
      <c r="BC66" s="82"/>
      <c r="BD66" s="82"/>
      <c r="BE66" s="82"/>
      <c r="BF66" s="91"/>
      <c r="BG66" s="91"/>
      <c r="BH66" s="91"/>
      <c r="BI66" s="91"/>
      <c r="BJ66" s="82"/>
      <c r="BK66" s="82"/>
      <c r="BL66" s="82"/>
      <c r="BM66" s="82"/>
      <c r="BN66" s="91"/>
      <c r="BO66" s="91"/>
      <c r="BP66" s="91"/>
      <c r="BQ66" s="91"/>
      <c r="BR66" s="82"/>
      <c r="BS66" s="82"/>
      <c r="BT66" s="82"/>
      <c r="BU66" s="82"/>
      <c r="BV66" s="91"/>
      <c r="BW66" s="91"/>
      <c r="BX66" s="91"/>
      <c r="BY66" s="91"/>
      <c r="BZ66" s="82"/>
      <c r="CA66" s="82"/>
      <c r="CB66" s="82"/>
      <c r="CC66" s="82"/>
      <c r="CD66" s="91"/>
      <c r="CE66" s="91"/>
      <c r="CF66" s="91"/>
      <c r="CG66" s="91"/>
      <c r="CH66" s="82"/>
      <c r="CI66" s="82"/>
      <c r="CJ66" s="82"/>
      <c r="CK66" s="82"/>
      <c r="CL66" s="91"/>
      <c r="CM66" s="91"/>
      <c r="CN66" s="91"/>
      <c r="CO66" s="91"/>
      <c r="CP66" s="82"/>
      <c r="CQ66" s="82"/>
      <c r="CR66" s="82"/>
      <c r="CS66" s="82"/>
      <c r="CT66" s="91"/>
      <c r="CU66" s="91"/>
      <c r="CV66" s="91"/>
      <c r="CW66" s="91"/>
      <c r="CX66" s="82"/>
      <c r="CY66" s="82"/>
      <c r="CZ66" s="82"/>
      <c r="DA66" s="82"/>
      <c r="DB66" s="91">
        <v>93629.353636363638</v>
      </c>
      <c r="DC66" s="82">
        <v>187258.70727272728</v>
      </c>
      <c r="DD66" s="91"/>
      <c r="DE66" s="101"/>
    </row>
    <row r="67" spans="1:109" x14ac:dyDescent="0.2">
      <c r="A67" s="14">
        <v>59</v>
      </c>
      <c r="B67" s="28" t="s">
        <v>849</v>
      </c>
      <c r="C67" s="14" t="s">
        <v>886</v>
      </c>
      <c r="D67" s="22"/>
      <c r="E67" s="24"/>
      <c r="F67" s="82" t="s">
        <v>950</v>
      </c>
      <c r="G67" s="82" t="s">
        <v>662</v>
      </c>
      <c r="H67" s="82">
        <v>0.16749999999999998</v>
      </c>
      <c r="I67" s="82">
        <v>15682.916734090908</v>
      </c>
      <c r="J67" s="91" t="s">
        <v>957</v>
      </c>
      <c r="K67" s="91" t="s">
        <v>662</v>
      </c>
      <c r="L67" s="91">
        <v>0.4375</v>
      </c>
      <c r="M67" s="91">
        <v>40962.842215909091</v>
      </c>
      <c r="N67" s="82" t="s">
        <v>938</v>
      </c>
      <c r="O67" s="82" t="s">
        <v>657</v>
      </c>
      <c r="P67" s="82">
        <v>1.3050000000000002</v>
      </c>
      <c r="Q67" s="82">
        <v>122186.30649545456</v>
      </c>
      <c r="R67" s="91" t="s">
        <v>939</v>
      </c>
      <c r="S67" s="91" t="s">
        <v>662</v>
      </c>
      <c r="T67" s="91">
        <v>0.7649999999999999</v>
      </c>
      <c r="U67" s="91">
        <v>71626.455531818166</v>
      </c>
      <c r="V67" s="82" t="s">
        <v>960</v>
      </c>
      <c r="W67" s="82" t="s">
        <v>662</v>
      </c>
      <c r="X67" s="82">
        <v>0.28125</v>
      </c>
      <c r="Y67" s="82">
        <v>26333.255710227273</v>
      </c>
      <c r="Z67" s="91" t="s">
        <v>961</v>
      </c>
      <c r="AA67" s="91" t="s">
        <v>662</v>
      </c>
      <c r="AB67" s="91">
        <v>0.12875000000000014</v>
      </c>
      <c r="AC67" s="91">
        <v>12054.779280681832</v>
      </c>
      <c r="AD67" s="82" t="s">
        <v>965</v>
      </c>
      <c r="AE67" s="82" t="s">
        <v>662</v>
      </c>
      <c r="AF67" s="82">
        <v>0.16124999999999989</v>
      </c>
      <c r="AG67" s="82">
        <v>15097.733273863627</v>
      </c>
      <c r="AH67" s="91" t="s">
        <v>946</v>
      </c>
      <c r="AI67" s="91" t="s">
        <v>662</v>
      </c>
      <c r="AJ67" s="91">
        <v>0.16875000000000018</v>
      </c>
      <c r="AK67" s="91">
        <v>15799.953426136381</v>
      </c>
      <c r="AL67" s="82" t="s">
        <v>903</v>
      </c>
      <c r="AM67" s="82" t="s">
        <v>662</v>
      </c>
      <c r="AN67" s="82">
        <v>0.71250000000000002</v>
      </c>
      <c r="AO67" s="82">
        <v>66710.914465909096</v>
      </c>
      <c r="AP67" s="91" t="s">
        <v>904</v>
      </c>
      <c r="AQ67" s="91" t="s">
        <v>662</v>
      </c>
      <c r="AR67" s="91">
        <v>0.13874999999999993</v>
      </c>
      <c r="AS67" s="91">
        <v>12991.072817045448</v>
      </c>
      <c r="AT67" s="82" t="s">
        <v>906</v>
      </c>
      <c r="AU67" s="82" t="s">
        <v>662</v>
      </c>
      <c r="AV67" s="82">
        <v>0.13874999999999993</v>
      </c>
      <c r="AW67" s="82">
        <v>12991.072817045448</v>
      </c>
      <c r="AX67" s="91" t="s">
        <v>898</v>
      </c>
      <c r="AY67" s="91" t="s">
        <v>662</v>
      </c>
      <c r="AZ67" s="91">
        <v>0.19874999999999998</v>
      </c>
      <c r="BA67" s="91">
        <v>18608.834035227272</v>
      </c>
      <c r="BB67" s="82"/>
      <c r="BC67" s="82"/>
      <c r="BD67" s="82"/>
      <c r="BE67" s="82"/>
      <c r="BF67" s="91"/>
      <c r="BG67" s="91"/>
      <c r="BH67" s="91"/>
      <c r="BI67" s="91"/>
      <c r="BJ67" s="82"/>
      <c r="BK67" s="82"/>
      <c r="BL67" s="82"/>
      <c r="BM67" s="82"/>
      <c r="BN67" s="91"/>
      <c r="BO67" s="91"/>
      <c r="BP67" s="91"/>
      <c r="BQ67" s="91"/>
      <c r="BR67" s="82"/>
      <c r="BS67" s="82"/>
      <c r="BT67" s="82"/>
      <c r="BU67" s="82"/>
      <c r="BV67" s="91"/>
      <c r="BW67" s="91"/>
      <c r="BX67" s="91"/>
      <c r="BY67" s="91"/>
      <c r="BZ67" s="82"/>
      <c r="CA67" s="82"/>
      <c r="CB67" s="82"/>
      <c r="CC67" s="82"/>
      <c r="CD67" s="91"/>
      <c r="CE67" s="91"/>
      <c r="CF67" s="91"/>
      <c r="CG67" s="91"/>
      <c r="CH67" s="82"/>
      <c r="CI67" s="82"/>
      <c r="CJ67" s="82"/>
      <c r="CK67" s="82"/>
      <c r="CL67" s="91"/>
      <c r="CM67" s="91"/>
      <c r="CN67" s="91"/>
      <c r="CO67" s="91"/>
      <c r="CP67" s="82"/>
      <c r="CQ67" s="82"/>
      <c r="CR67" s="82"/>
      <c r="CS67" s="82"/>
      <c r="CT67" s="91"/>
      <c r="CU67" s="91"/>
      <c r="CV67" s="91"/>
      <c r="CW67" s="91"/>
      <c r="CX67" s="82"/>
      <c r="CY67" s="82"/>
      <c r="CZ67" s="82"/>
      <c r="DA67" s="82"/>
      <c r="DB67" s="91">
        <v>93629.353636363638</v>
      </c>
      <c r="DC67" s="82">
        <v>431046.13680340903</v>
      </c>
      <c r="DD67" s="91"/>
      <c r="DE67" s="101"/>
    </row>
    <row r="68" spans="1:109" x14ac:dyDescent="0.2">
      <c r="A68" s="14">
        <v>60</v>
      </c>
      <c r="B68" s="28" t="s">
        <v>831</v>
      </c>
      <c r="C68" s="14" t="s">
        <v>837</v>
      </c>
      <c r="D68" s="22"/>
      <c r="E68" s="24"/>
      <c r="F68" s="82" t="s">
        <v>950</v>
      </c>
      <c r="G68" s="82" t="s">
        <v>662</v>
      </c>
      <c r="H68" s="82">
        <v>0.41250000000000009</v>
      </c>
      <c r="I68" s="82">
        <v>38622.108375000011</v>
      </c>
      <c r="J68" s="91" t="s">
        <v>941</v>
      </c>
      <c r="K68" s="91" t="s">
        <v>657</v>
      </c>
      <c r="L68" s="91">
        <v>0.85750000000000004</v>
      </c>
      <c r="M68" s="91">
        <v>80287.170743181821</v>
      </c>
      <c r="N68" s="82" t="s">
        <v>946</v>
      </c>
      <c r="O68" s="82" t="s">
        <v>662</v>
      </c>
      <c r="P68" s="82">
        <v>0.27249999999999996</v>
      </c>
      <c r="Q68" s="82">
        <v>25513.998865909089</v>
      </c>
      <c r="R68" s="91"/>
      <c r="S68" s="91"/>
      <c r="T68" s="91"/>
      <c r="U68" s="91"/>
      <c r="V68" s="82"/>
      <c r="W68" s="82"/>
      <c r="X68" s="82"/>
      <c r="Y68" s="82"/>
      <c r="Z68" s="91"/>
      <c r="AA68" s="91"/>
      <c r="AB68" s="91"/>
      <c r="AC68" s="91"/>
      <c r="AD68" s="82"/>
      <c r="AE68" s="82"/>
      <c r="AF68" s="82"/>
      <c r="AG68" s="82"/>
      <c r="AH68" s="91"/>
      <c r="AI68" s="91"/>
      <c r="AJ68" s="91"/>
      <c r="AK68" s="91"/>
      <c r="AL68" s="82"/>
      <c r="AM68" s="82"/>
      <c r="AN68" s="82"/>
      <c r="AO68" s="82"/>
      <c r="AP68" s="91"/>
      <c r="AQ68" s="91"/>
      <c r="AR68" s="91"/>
      <c r="AS68" s="91"/>
      <c r="AT68" s="82"/>
      <c r="AU68" s="82"/>
      <c r="AV68" s="82"/>
      <c r="AW68" s="82"/>
      <c r="AX68" s="91"/>
      <c r="AY68" s="91"/>
      <c r="AZ68" s="91"/>
      <c r="BA68" s="91"/>
      <c r="BB68" s="82"/>
      <c r="BC68" s="82"/>
      <c r="BD68" s="82"/>
      <c r="BE68" s="82"/>
      <c r="BF68" s="91"/>
      <c r="BG68" s="91"/>
      <c r="BH68" s="91"/>
      <c r="BI68" s="91"/>
      <c r="BJ68" s="82"/>
      <c r="BK68" s="82"/>
      <c r="BL68" s="82"/>
      <c r="BM68" s="82"/>
      <c r="BN68" s="91"/>
      <c r="BO68" s="91"/>
      <c r="BP68" s="91"/>
      <c r="BQ68" s="91"/>
      <c r="BR68" s="82"/>
      <c r="BS68" s="82"/>
      <c r="BT68" s="82"/>
      <c r="BU68" s="82"/>
      <c r="BV68" s="91"/>
      <c r="BW68" s="91"/>
      <c r="BX68" s="91"/>
      <c r="BY68" s="91"/>
      <c r="BZ68" s="82"/>
      <c r="CA68" s="82"/>
      <c r="CB68" s="82"/>
      <c r="CC68" s="82"/>
      <c r="CD68" s="91"/>
      <c r="CE68" s="91"/>
      <c r="CF68" s="91"/>
      <c r="CG68" s="91"/>
      <c r="CH68" s="82"/>
      <c r="CI68" s="82"/>
      <c r="CJ68" s="82"/>
      <c r="CK68" s="82"/>
      <c r="CL68" s="91"/>
      <c r="CM68" s="91"/>
      <c r="CN68" s="91"/>
      <c r="CO68" s="91"/>
      <c r="CP68" s="82"/>
      <c r="CQ68" s="82"/>
      <c r="CR68" s="82"/>
      <c r="CS68" s="82"/>
      <c r="CT68" s="91"/>
      <c r="CU68" s="91"/>
      <c r="CV68" s="91"/>
      <c r="CW68" s="91"/>
      <c r="CX68" s="82"/>
      <c r="CY68" s="82"/>
      <c r="CZ68" s="82"/>
      <c r="DA68" s="82"/>
      <c r="DB68" s="91">
        <v>93629.353636363638</v>
      </c>
      <c r="DC68" s="82">
        <v>144423.27798409091</v>
      </c>
      <c r="DD68" s="91"/>
      <c r="DE68" s="101"/>
    </row>
    <row r="69" spans="1:109" x14ac:dyDescent="0.2">
      <c r="A69" s="14">
        <v>61</v>
      </c>
      <c r="B69" s="28" t="s">
        <v>850</v>
      </c>
      <c r="C69" s="14" t="s">
        <v>887</v>
      </c>
      <c r="D69" s="22"/>
      <c r="E69" s="24"/>
      <c r="F69" s="82" t="s">
        <v>942</v>
      </c>
      <c r="G69" s="82" t="s">
        <v>662</v>
      </c>
      <c r="H69" s="82">
        <v>1</v>
      </c>
      <c r="I69" s="82">
        <v>93629.353636363638</v>
      </c>
      <c r="J69" s="91" t="s">
        <v>963</v>
      </c>
      <c r="K69" s="91" t="s">
        <v>657</v>
      </c>
      <c r="L69" s="91">
        <v>1</v>
      </c>
      <c r="M69" s="91">
        <v>93629.353636363638</v>
      </c>
      <c r="N69" s="82" t="s">
        <v>944</v>
      </c>
      <c r="O69" s="82" t="s">
        <v>657</v>
      </c>
      <c r="P69" s="82">
        <v>1</v>
      </c>
      <c r="Q69" s="82">
        <v>93629.353636363638</v>
      </c>
      <c r="R69" s="91" t="s">
        <v>940</v>
      </c>
      <c r="S69" s="91" t="s">
        <v>657</v>
      </c>
      <c r="T69" s="91">
        <v>1</v>
      </c>
      <c r="U69" s="91">
        <v>93629.353636363638</v>
      </c>
      <c r="V69" s="82"/>
      <c r="W69" s="82"/>
      <c r="X69" s="82"/>
      <c r="Y69" s="82"/>
      <c r="Z69" s="91"/>
      <c r="AA69" s="91"/>
      <c r="AB69" s="91"/>
      <c r="AC69" s="91"/>
      <c r="AD69" s="82"/>
      <c r="AE69" s="82"/>
      <c r="AF69" s="82"/>
      <c r="AG69" s="82"/>
      <c r="AH69" s="91"/>
      <c r="AI69" s="91"/>
      <c r="AJ69" s="91"/>
      <c r="AK69" s="91"/>
      <c r="AL69" s="82"/>
      <c r="AM69" s="82"/>
      <c r="AN69" s="82"/>
      <c r="AO69" s="82"/>
      <c r="AP69" s="91"/>
      <c r="AQ69" s="91"/>
      <c r="AR69" s="91"/>
      <c r="AS69" s="91"/>
      <c r="AT69" s="82"/>
      <c r="AU69" s="82"/>
      <c r="AV69" s="82"/>
      <c r="AW69" s="82"/>
      <c r="AX69" s="91"/>
      <c r="AY69" s="91"/>
      <c r="AZ69" s="91"/>
      <c r="BA69" s="91"/>
      <c r="BB69" s="82"/>
      <c r="BC69" s="82"/>
      <c r="BD69" s="82"/>
      <c r="BE69" s="82"/>
      <c r="BF69" s="91"/>
      <c r="BG69" s="91"/>
      <c r="BH69" s="91"/>
      <c r="BI69" s="91"/>
      <c r="BJ69" s="82"/>
      <c r="BK69" s="82"/>
      <c r="BL69" s="82"/>
      <c r="BM69" s="82"/>
      <c r="BN69" s="91"/>
      <c r="BO69" s="91"/>
      <c r="BP69" s="91"/>
      <c r="BQ69" s="91"/>
      <c r="BR69" s="82"/>
      <c r="BS69" s="82"/>
      <c r="BT69" s="82"/>
      <c r="BU69" s="82"/>
      <c r="BV69" s="91"/>
      <c r="BW69" s="91"/>
      <c r="BX69" s="91"/>
      <c r="BY69" s="91"/>
      <c r="BZ69" s="82"/>
      <c r="CA69" s="82"/>
      <c r="CB69" s="82"/>
      <c r="CC69" s="82"/>
      <c r="CD69" s="91"/>
      <c r="CE69" s="91"/>
      <c r="CF69" s="91"/>
      <c r="CG69" s="91"/>
      <c r="CH69" s="82"/>
      <c r="CI69" s="82"/>
      <c r="CJ69" s="82"/>
      <c r="CK69" s="82"/>
      <c r="CL69" s="91"/>
      <c r="CM69" s="91"/>
      <c r="CN69" s="91"/>
      <c r="CO69" s="91"/>
      <c r="CP69" s="82"/>
      <c r="CQ69" s="82"/>
      <c r="CR69" s="82"/>
      <c r="CS69" s="82"/>
      <c r="CT69" s="91"/>
      <c r="CU69" s="91"/>
      <c r="CV69" s="91"/>
      <c r="CW69" s="91"/>
      <c r="CX69" s="82"/>
      <c r="CY69" s="82"/>
      <c r="CZ69" s="82"/>
      <c r="DA69" s="82"/>
      <c r="DB69" s="91">
        <v>93629.353636363638</v>
      </c>
      <c r="DC69" s="82">
        <v>374517.41454545455</v>
      </c>
      <c r="DD69" s="91"/>
      <c r="DE69" s="101"/>
    </row>
    <row r="70" spans="1:109" x14ac:dyDescent="0.2">
      <c r="A70" s="14">
        <v>62</v>
      </c>
      <c r="B70" s="28" t="s">
        <v>832</v>
      </c>
      <c r="C70" s="14" t="s">
        <v>838</v>
      </c>
      <c r="D70" s="22"/>
      <c r="E70" s="24"/>
      <c r="F70" s="82"/>
      <c r="G70" s="82"/>
      <c r="H70" s="82"/>
      <c r="I70" s="82"/>
      <c r="J70" s="91"/>
      <c r="K70" s="91"/>
      <c r="L70" s="91"/>
      <c r="M70" s="91"/>
      <c r="N70" s="82"/>
      <c r="O70" s="82"/>
      <c r="P70" s="82"/>
      <c r="Q70" s="82"/>
      <c r="R70" s="91"/>
      <c r="S70" s="91"/>
      <c r="T70" s="91"/>
      <c r="U70" s="91"/>
      <c r="V70" s="82"/>
      <c r="W70" s="82"/>
      <c r="X70" s="82"/>
      <c r="Y70" s="82"/>
      <c r="Z70" s="91"/>
      <c r="AA70" s="91"/>
      <c r="AB70" s="91"/>
      <c r="AC70" s="91"/>
      <c r="AD70" s="82"/>
      <c r="AE70" s="82"/>
      <c r="AF70" s="82"/>
      <c r="AG70" s="82"/>
      <c r="AH70" s="91"/>
      <c r="AI70" s="91"/>
      <c r="AJ70" s="91"/>
      <c r="AK70" s="91"/>
      <c r="AL70" s="82"/>
      <c r="AM70" s="82"/>
      <c r="AN70" s="82"/>
      <c r="AO70" s="82"/>
      <c r="AP70" s="91"/>
      <c r="AQ70" s="91"/>
      <c r="AR70" s="91"/>
      <c r="AS70" s="91"/>
      <c r="AT70" s="82"/>
      <c r="AU70" s="82"/>
      <c r="AV70" s="82"/>
      <c r="AW70" s="82"/>
      <c r="AX70" s="91"/>
      <c r="AY70" s="91"/>
      <c r="AZ70" s="91"/>
      <c r="BA70" s="91"/>
      <c r="BB70" s="82"/>
      <c r="BC70" s="82"/>
      <c r="BD70" s="82"/>
      <c r="BE70" s="82"/>
      <c r="BF70" s="91"/>
      <c r="BG70" s="91"/>
      <c r="BH70" s="91"/>
      <c r="BI70" s="91"/>
      <c r="BJ70" s="82"/>
      <c r="BK70" s="82"/>
      <c r="BL70" s="82"/>
      <c r="BM70" s="82"/>
      <c r="BN70" s="91"/>
      <c r="BO70" s="91"/>
      <c r="BP70" s="91"/>
      <c r="BQ70" s="91"/>
      <c r="BR70" s="82"/>
      <c r="BS70" s="82"/>
      <c r="BT70" s="82"/>
      <c r="BU70" s="82"/>
      <c r="BV70" s="91"/>
      <c r="BW70" s="91"/>
      <c r="BX70" s="91"/>
      <c r="BY70" s="91"/>
      <c r="BZ70" s="82"/>
      <c r="CA70" s="82"/>
      <c r="CB70" s="82"/>
      <c r="CC70" s="82"/>
      <c r="CD70" s="91"/>
      <c r="CE70" s="91"/>
      <c r="CF70" s="91"/>
      <c r="CG70" s="91"/>
      <c r="CH70" s="82"/>
      <c r="CI70" s="82"/>
      <c r="CJ70" s="82"/>
      <c r="CK70" s="82"/>
      <c r="CL70" s="91"/>
      <c r="CM70" s="91"/>
      <c r="CN70" s="91"/>
      <c r="CO70" s="91"/>
      <c r="CP70" s="82"/>
      <c r="CQ70" s="82"/>
      <c r="CR70" s="82"/>
      <c r="CS70" s="82"/>
      <c r="CT70" s="91"/>
      <c r="CU70" s="91"/>
      <c r="CV70" s="91"/>
      <c r="CW70" s="91"/>
      <c r="CX70" s="82"/>
      <c r="CY70" s="82"/>
      <c r="CZ70" s="82"/>
      <c r="DA70" s="82"/>
      <c r="DB70" s="91"/>
      <c r="DC70" s="82"/>
      <c r="DD70" s="91"/>
      <c r="DE70" s="101"/>
    </row>
    <row r="71" spans="1:109" x14ac:dyDescent="0.2">
      <c r="A71" s="14">
        <v>63</v>
      </c>
      <c r="B71" s="28" t="s">
        <v>851</v>
      </c>
      <c r="C71" s="14" t="s">
        <v>888</v>
      </c>
      <c r="D71" s="22"/>
      <c r="E71" s="24"/>
      <c r="F71" s="82"/>
      <c r="G71" s="82"/>
      <c r="H71" s="82"/>
      <c r="I71" s="82"/>
      <c r="J71" s="91"/>
      <c r="K71" s="91"/>
      <c r="L71" s="91"/>
      <c r="M71" s="91"/>
      <c r="N71" s="82"/>
      <c r="O71" s="82"/>
      <c r="P71" s="82"/>
      <c r="Q71" s="82"/>
      <c r="R71" s="91"/>
      <c r="S71" s="91"/>
      <c r="T71" s="91"/>
      <c r="U71" s="91"/>
      <c r="V71" s="82"/>
      <c r="W71" s="82"/>
      <c r="X71" s="82"/>
      <c r="Y71" s="82"/>
      <c r="Z71" s="91"/>
      <c r="AA71" s="91"/>
      <c r="AB71" s="91"/>
      <c r="AC71" s="91"/>
      <c r="AD71" s="82"/>
      <c r="AE71" s="82"/>
      <c r="AF71" s="82"/>
      <c r="AG71" s="82"/>
      <c r="AH71" s="91"/>
      <c r="AI71" s="91"/>
      <c r="AJ71" s="91"/>
      <c r="AK71" s="91"/>
      <c r="AL71" s="82"/>
      <c r="AM71" s="82"/>
      <c r="AN71" s="82"/>
      <c r="AO71" s="82"/>
      <c r="AP71" s="91"/>
      <c r="AQ71" s="91"/>
      <c r="AR71" s="91"/>
      <c r="AS71" s="91"/>
      <c r="AT71" s="82"/>
      <c r="AU71" s="82"/>
      <c r="AV71" s="82"/>
      <c r="AW71" s="82"/>
      <c r="AX71" s="91"/>
      <c r="AY71" s="91"/>
      <c r="AZ71" s="91"/>
      <c r="BA71" s="91"/>
      <c r="BB71" s="82"/>
      <c r="BC71" s="82"/>
      <c r="BD71" s="82"/>
      <c r="BE71" s="82"/>
      <c r="BF71" s="91"/>
      <c r="BG71" s="91"/>
      <c r="BH71" s="91"/>
      <c r="BI71" s="91"/>
      <c r="BJ71" s="82"/>
      <c r="BK71" s="82"/>
      <c r="BL71" s="82"/>
      <c r="BM71" s="82"/>
      <c r="BN71" s="91"/>
      <c r="BO71" s="91"/>
      <c r="BP71" s="91"/>
      <c r="BQ71" s="91"/>
      <c r="BR71" s="82"/>
      <c r="BS71" s="82"/>
      <c r="BT71" s="82"/>
      <c r="BU71" s="82"/>
      <c r="BV71" s="91"/>
      <c r="BW71" s="91"/>
      <c r="BX71" s="91"/>
      <c r="BY71" s="91"/>
      <c r="BZ71" s="82"/>
      <c r="CA71" s="82"/>
      <c r="CB71" s="82"/>
      <c r="CC71" s="82"/>
      <c r="CD71" s="91"/>
      <c r="CE71" s="91"/>
      <c r="CF71" s="91"/>
      <c r="CG71" s="91"/>
      <c r="CH71" s="82"/>
      <c r="CI71" s="82"/>
      <c r="CJ71" s="82"/>
      <c r="CK71" s="82"/>
      <c r="CL71" s="91"/>
      <c r="CM71" s="91"/>
      <c r="CN71" s="91"/>
      <c r="CO71" s="91"/>
      <c r="CP71" s="82"/>
      <c r="CQ71" s="82"/>
      <c r="CR71" s="82"/>
      <c r="CS71" s="82"/>
      <c r="CT71" s="91"/>
      <c r="CU71" s="91"/>
      <c r="CV71" s="91"/>
      <c r="CW71" s="91"/>
      <c r="CX71" s="82"/>
      <c r="CY71" s="82"/>
      <c r="CZ71" s="82"/>
      <c r="DA71" s="82"/>
      <c r="DB71" s="91"/>
      <c r="DC71" s="82"/>
      <c r="DD71" s="91"/>
      <c r="DE71" s="101"/>
    </row>
    <row r="72" spans="1:109" x14ac:dyDescent="0.2">
      <c r="A72" s="14">
        <v>64</v>
      </c>
      <c r="B72" s="28" t="s">
        <v>852</v>
      </c>
      <c r="C72" s="14" t="s">
        <v>889</v>
      </c>
      <c r="D72" s="22"/>
      <c r="E72" s="24"/>
      <c r="F72" s="82"/>
      <c r="G72" s="82"/>
      <c r="H72" s="82"/>
      <c r="I72" s="82"/>
      <c r="J72" s="91"/>
      <c r="K72" s="91"/>
      <c r="L72" s="91"/>
      <c r="M72" s="91"/>
      <c r="N72" s="82"/>
      <c r="O72" s="82"/>
      <c r="P72" s="82"/>
      <c r="Q72" s="82"/>
      <c r="R72" s="91"/>
      <c r="S72" s="91"/>
      <c r="T72" s="91"/>
      <c r="U72" s="91"/>
      <c r="V72" s="82"/>
      <c r="W72" s="82"/>
      <c r="X72" s="82"/>
      <c r="Y72" s="82"/>
      <c r="Z72" s="91"/>
      <c r="AA72" s="91"/>
      <c r="AB72" s="91"/>
      <c r="AC72" s="91"/>
      <c r="AD72" s="82"/>
      <c r="AE72" s="82"/>
      <c r="AF72" s="82"/>
      <c r="AG72" s="82"/>
      <c r="AH72" s="91"/>
      <c r="AI72" s="91"/>
      <c r="AJ72" s="91"/>
      <c r="AK72" s="91"/>
      <c r="AL72" s="82"/>
      <c r="AM72" s="82"/>
      <c r="AN72" s="82"/>
      <c r="AO72" s="82"/>
      <c r="AP72" s="91"/>
      <c r="AQ72" s="91"/>
      <c r="AR72" s="91"/>
      <c r="AS72" s="91"/>
      <c r="AT72" s="82"/>
      <c r="AU72" s="82"/>
      <c r="AV72" s="82"/>
      <c r="AW72" s="82"/>
      <c r="AX72" s="91"/>
      <c r="AY72" s="91"/>
      <c r="AZ72" s="91"/>
      <c r="BA72" s="91"/>
      <c r="BB72" s="82"/>
      <c r="BC72" s="82"/>
      <c r="BD72" s="82"/>
      <c r="BE72" s="82"/>
      <c r="BF72" s="91"/>
      <c r="BG72" s="91"/>
      <c r="BH72" s="91"/>
      <c r="BI72" s="91"/>
      <c r="BJ72" s="82"/>
      <c r="BK72" s="82"/>
      <c r="BL72" s="82"/>
      <c r="BM72" s="82"/>
      <c r="BN72" s="91"/>
      <c r="BO72" s="91"/>
      <c r="BP72" s="91"/>
      <c r="BQ72" s="91"/>
      <c r="BR72" s="82"/>
      <c r="BS72" s="82"/>
      <c r="BT72" s="82"/>
      <c r="BU72" s="82"/>
      <c r="BV72" s="91"/>
      <c r="BW72" s="91"/>
      <c r="BX72" s="91"/>
      <c r="BY72" s="91"/>
      <c r="BZ72" s="82"/>
      <c r="CA72" s="82"/>
      <c r="CB72" s="82"/>
      <c r="CC72" s="82"/>
      <c r="CD72" s="91"/>
      <c r="CE72" s="91"/>
      <c r="CF72" s="91"/>
      <c r="CG72" s="91"/>
      <c r="CH72" s="82"/>
      <c r="CI72" s="82"/>
      <c r="CJ72" s="82"/>
      <c r="CK72" s="82"/>
      <c r="CL72" s="91"/>
      <c r="CM72" s="91"/>
      <c r="CN72" s="91"/>
      <c r="CO72" s="91"/>
      <c r="CP72" s="82"/>
      <c r="CQ72" s="82"/>
      <c r="CR72" s="82"/>
      <c r="CS72" s="82"/>
      <c r="CT72" s="91"/>
      <c r="CU72" s="91"/>
      <c r="CV72" s="91"/>
      <c r="CW72" s="91"/>
      <c r="CX72" s="82"/>
      <c r="CY72" s="82"/>
      <c r="CZ72" s="82"/>
      <c r="DA72" s="82"/>
      <c r="DB72" s="91"/>
      <c r="DC72" s="82"/>
      <c r="DD72" s="91"/>
      <c r="DE72" s="101"/>
    </row>
    <row r="73" spans="1:109" x14ac:dyDescent="0.2">
      <c r="A73" s="14">
        <v>65</v>
      </c>
      <c r="B73" s="28" t="s">
        <v>916</v>
      </c>
      <c r="C73" s="14" t="s">
        <v>970</v>
      </c>
      <c r="D73" s="22"/>
      <c r="E73" s="24"/>
      <c r="F73" s="82"/>
      <c r="G73" s="82"/>
      <c r="H73" s="82"/>
      <c r="I73" s="82"/>
      <c r="J73" s="91"/>
      <c r="K73" s="91"/>
      <c r="L73" s="91"/>
      <c r="M73" s="91"/>
      <c r="N73" s="82"/>
      <c r="O73" s="82"/>
      <c r="P73" s="82"/>
      <c r="Q73" s="82"/>
      <c r="R73" s="91"/>
      <c r="S73" s="91"/>
      <c r="T73" s="91"/>
      <c r="U73" s="91"/>
      <c r="V73" s="82"/>
      <c r="W73" s="82"/>
      <c r="X73" s="82"/>
      <c r="Y73" s="82"/>
      <c r="Z73" s="91"/>
      <c r="AA73" s="91"/>
      <c r="AB73" s="91"/>
      <c r="AC73" s="91"/>
      <c r="AD73" s="82"/>
      <c r="AE73" s="82"/>
      <c r="AF73" s="82"/>
      <c r="AG73" s="82"/>
      <c r="AH73" s="91"/>
      <c r="AI73" s="91"/>
      <c r="AJ73" s="91"/>
      <c r="AK73" s="91"/>
      <c r="AL73" s="82"/>
      <c r="AM73" s="82"/>
      <c r="AN73" s="82"/>
      <c r="AO73" s="82"/>
      <c r="AP73" s="91"/>
      <c r="AQ73" s="91"/>
      <c r="AR73" s="91"/>
      <c r="AS73" s="91"/>
      <c r="AT73" s="82"/>
      <c r="AU73" s="82"/>
      <c r="AV73" s="82"/>
      <c r="AW73" s="82"/>
      <c r="AX73" s="91"/>
      <c r="AY73" s="91"/>
      <c r="AZ73" s="91"/>
      <c r="BA73" s="91"/>
      <c r="BB73" s="82"/>
      <c r="BC73" s="82"/>
      <c r="BD73" s="82"/>
      <c r="BE73" s="82"/>
      <c r="BF73" s="91"/>
      <c r="BG73" s="91"/>
      <c r="BH73" s="91"/>
      <c r="BI73" s="91"/>
      <c r="BJ73" s="82"/>
      <c r="BK73" s="82"/>
      <c r="BL73" s="82"/>
      <c r="BM73" s="82"/>
      <c r="BN73" s="91"/>
      <c r="BO73" s="91"/>
      <c r="BP73" s="91"/>
      <c r="BQ73" s="91"/>
      <c r="BR73" s="82"/>
      <c r="BS73" s="82"/>
      <c r="BT73" s="82"/>
      <c r="BU73" s="82"/>
      <c r="BV73" s="91"/>
      <c r="BW73" s="91"/>
      <c r="BX73" s="91"/>
      <c r="BY73" s="91"/>
      <c r="BZ73" s="82"/>
      <c r="CA73" s="82"/>
      <c r="CB73" s="82"/>
      <c r="CC73" s="82"/>
      <c r="CD73" s="91"/>
      <c r="CE73" s="91"/>
      <c r="CF73" s="91"/>
      <c r="CG73" s="91"/>
      <c r="CH73" s="82"/>
      <c r="CI73" s="82"/>
      <c r="CJ73" s="82"/>
      <c r="CK73" s="82"/>
      <c r="CL73" s="91"/>
      <c r="CM73" s="91"/>
      <c r="CN73" s="91"/>
      <c r="CO73" s="91"/>
      <c r="CP73" s="82"/>
      <c r="CQ73" s="82"/>
      <c r="CR73" s="82"/>
      <c r="CS73" s="82"/>
      <c r="CT73" s="91"/>
      <c r="CU73" s="91"/>
      <c r="CV73" s="91"/>
      <c r="CW73" s="91"/>
      <c r="CX73" s="82"/>
      <c r="CY73" s="82"/>
      <c r="CZ73" s="82"/>
      <c r="DA73" s="82"/>
      <c r="DB73" s="91"/>
      <c r="DC73" s="82"/>
      <c r="DD73" s="91"/>
      <c r="DE73" s="101"/>
    </row>
    <row r="74" spans="1:109" x14ac:dyDescent="0.2">
      <c r="A74" s="14">
        <v>66</v>
      </c>
      <c r="B74" s="28" t="s">
        <v>853</v>
      </c>
      <c r="C74" s="14" t="s">
        <v>890</v>
      </c>
      <c r="D74" s="22"/>
      <c r="E74" s="24"/>
      <c r="F74" s="82"/>
      <c r="G74" s="82"/>
      <c r="H74" s="82"/>
      <c r="I74" s="82"/>
      <c r="J74" s="91"/>
      <c r="K74" s="91"/>
      <c r="L74" s="91"/>
      <c r="M74" s="91"/>
      <c r="N74" s="82"/>
      <c r="O74" s="82"/>
      <c r="P74" s="82"/>
      <c r="Q74" s="82"/>
      <c r="R74" s="91"/>
      <c r="S74" s="91"/>
      <c r="T74" s="91"/>
      <c r="U74" s="91"/>
      <c r="V74" s="82"/>
      <c r="W74" s="82"/>
      <c r="X74" s="82"/>
      <c r="Y74" s="82"/>
      <c r="Z74" s="91"/>
      <c r="AA74" s="91"/>
      <c r="AB74" s="91"/>
      <c r="AC74" s="91"/>
      <c r="AD74" s="82"/>
      <c r="AE74" s="82"/>
      <c r="AF74" s="82"/>
      <c r="AG74" s="82"/>
      <c r="AH74" s="91"/>
      <c r="AI74" s="91"/>
      <c r="AJ74" s="91"/>
      <c r="AK74" s="91"/>
      <c r="AL74" s="82"/>
      <c r="AM74" s="82"/>
      <c r="AN74" s="82"/>
      <c r="AO74" s="82"/>
      <c r="AP74" s="91"/>
      <c r="AQ74" s="91"/>
      <c r="AR74" s="91"/>
      <c r="AS74" s="91"/>
      <c r="AT74" s="82"/>
      <c r="AU74" s="82"/>
      <c r="AV74" s="82"/>
      <c r="AW74" s="82"/>
      <c r="AX74" s="91"/>
      <c r="AY74" s="91"/>
      <c r="AZ74" s="91"/>
      <c r="BA74" s="91"/>
      <c r="BB74" s="82"/>
      <c r="BC74" s="82"/>
      <c r="BD74" s="82"/>
      <c r="BE74" s="82"/>
      <c r="BF74" s="91"/>
      <c r="BG74" s="91"/>
      <c r="BH74" s="91"/>
      <c r="BI74" s="91"/>
      <c r="BJ74" s="82"/>
      <c r="BK74" s="82"/>
      <c r="BL74" s="82"/>
      <c r="BM74" s="82"/>
      <c r="BN74" s="91"/>
      <c r="BO74" s="91"/>
      <c r="BP74" s="91"/>
      <c r="BQ74" s="91"/>
      <c r="BR74" s="82"/>
      <c r="BS74" s="82"/>
      <c r="BT74" s="82"/>
      <c r="BU74" s="82"/>
      <c r="BV74" s="91"/>
      <c r="BW74" s="91"/>
      <c r="BX74" s="91"/>
      <c r="BY74" s="91"/>
      <c r="BZ74" s="82"/>
      <c r="CA74" s="82"/>
      <c r="CB74" s="82"/>
      <c r="CC74" s="82"/>
      <c r="CD74" s="91"/>
      <c r="CE74" s="91"/>
      <c r="CF74" s="91"/>
      <c r="CG74" s="91"/>
      <c r="CH74" s="82"/>
      <c r="CI74" s="82"/>
      <c r="CJ74" s="82"/>
      <c r="CK74" s="82"/>
      <c r="CL74" s="91"/>
      <c r="CM74" s="91"/>
      <c r="CN74" s="91"/>
      <c r="CO74" s="91"/>
      <c r="CP74" s="82"/>
      <c r="CQ74" s="82"/>
      <c r="CR74" s="82"/>
      <c r="CS74" s="82"/>
      <c r="CT74" s="91"/>
      <c r="CU74" s="91"/>
      <c r="CV74" s="91"/>
      <c r="CW74" s="91"/>
      <c r="CX74" s="82"/>
      <c r="CY74" s="82"/>
      <c r="CZ74" s="82"/>
      <c r="DA74" s="82"/>
      <c r="DB74" s="91"/>
      <c r="DC74" s="82"/>
      <c r="DD74" s="91"/>
      <c r="DE74" s="101"/>
    </row>
    <row r="75" spans="1:109" x14ac:dyDescent="0.2">
      <c r="A75" s="14">
        <v>67</v>
      </c>
      <c r="B75" s="28" t="s">
        <v>854</v>
      </c>
      <c r="C75" s="14" t="s">
        <v>891</v>
      </c>
      <c r="D75" s="22"/>
      <c r="E75" s="24"/>
      <c r="F75" s="82"/>
      <c r="G75" s="82"/>
      <c r="H75" s="82"/>
      <c r="I75" s="82"/>
      <c r="J75" s="91"/>
      <c r="K75" s="91"/>
      <c r="L75" s="91"/>
      <c r="M75" s="91"/>
      <c r="N75" s="82"/>
      <c r="O75" s="82"/>
      <c r="P75" s="82"/>
      <c r="Q75" s="82"/>
      <c r="R75" s="91"/>
      <c r="S75" s="91"/>
      <c r="T75" s="91"/>
      <c r="U75" s="91"/>
      <c r="V75" s="82"/>
      <c r="W75" s="82"/>
      <c r="X75" s="82"/>
      <c r="Y75" s="82"/>
      <c r="Z75" s="91"/>
      <c r="AA75" s="91"/>
      <c r="AB75" s="91"/>
      <c r="AC75" s="91"/>
      <c r="AD75" s="82"/>
      <c r="AE75" s="82"/>
      <c r="AF75" s="82"/>
      <c r="AG75" s="82"/>
      <c r="AH75" s="91"/>
      <c r="AI75" s="91"/>
      <c r="AJ75" s="91"/>
      <c r="AK75" s="91"/>
      <c r="AL75" s="82"/>
      <c r="AM75" s="82"/>
      <c r="AN75" s="82"/>
      <c r="AO75" s="82"/>
      <c r="AP75" s="91"/>
      <c r="AQ75" s="91"/>
      <c r="AR75" s="91"/>
      <c r="AS75" s="91"/>
      <c r="AT75" s="82"/>
      <c r="AU75" s="82"/>
      <c r="AV75" s="82"/>
      <c r="AW75" s="82"/>
      <c r="AX75" s="91"/>
      <c r="AY75" s="91"/>
      <c r="AZ75" s="91"/>
      <c r="BA75" s="91"/>
      <c r="BB75" s="82"/>
      <c r="BC75" s="82"/>
      <c r="BD75" s="82"/>
      <c r="BE75" s="82"/>
      <c r="BF75" s="91"/>
      <c r="BG75" s="91"/>
      <c r="BH75" s="91"/>
      <c r="BI75" s="91"/>
      <c r="BJ75" s="82"/>
      <c r="BK75" s="82"/>
      <c r="BL75" s="82"/>
      <c r="BM75" s="82"/>
      <c r="BN75" s="91"/>
      <c r="BO75" s="91"/>
      <c r="BP75" s="91"/>
      <c r="BQ75" s="91"/>
      <c r="BR75" s="82"/>
      <c r="BS75" s="82"/>
      <c r="BT75" s="82"/>
      <c r="BU75" s="82"/>
      <c r="BV75" s="91"/>
      <c r="BW75" s="91"/>
      <c r="BX75" s="91"/>
      <c r="BY75" s="91"/>
      <c r="BZ75" s="82"/>
      <c r="CA75" s="82"/>
      <c r="CB75" s="82"/>
      <c r="CC75" s="82"/>
      <c r="CD75" s="91"/>
      <c r="CE75" s="91"/>
      <c r="CF75" s="91"/>
      <c r="CG75" s="91"/>
      <c r="CH75" s="82"/>
      <c r="CI75" s="82"/>
      <c r="CJ75" s="82"/>
      <c r="CK75" s="82"/>
      <c r="CL75" s="91"/>
      <c r="CM75" s="91"/>
      <c r="CN75" s="91"/>
      <c r="CO75" s="91"/>
      <c r="CP75" s="82"/>
      <c r="CQ75" s="82"/>
      <c r="CR75" s="82"/>
      <c r="CS75" s="82"/>
      <c r="CT75" s="91"/>
      <c r="CU75" s="91"/>
      <c r="CV75" s="91"/>
      <c r="CW75" s="91"/>
      <c r="CX75" s="82"/>
      <c r="CY75" s="82"/>
      <c r="CZ75" s="82"/>
      <c r="DA75" s="82"/>
      <c r="DB75" s="91"/>
      <c r="DC75" s="82"/>
      <c r="DD75" s="91"/>
      <c r="DE75" s="101"/>
    </row>
    <row r="76" spans="1:109" x14ac:dyDescent="0.2">
      <c r="A76" s="14">
        <v>68</v>
      </c>
      <c r="B76" s="28" t="s">
        <v>917</v>
      </c>
      <c r="C76" s="14" t="s">
        <v>971</v>
      </c>
      <c r="D76" s="22"/>
      <c r="E76" s="24"/>
      <c r="F76" s="82"/>
      <c r="G76" s="82"/>
      <c r="H76" s="82"/>
      <c r="I76" s="82"/>
      <c r="J76" s="91"/>
      <c r="K76" s="91"/>
      <c r="L76" s="91"/>
      <c r="M76" s="91"/>
      <c r="N76" s="82"/>
      <c r="O76" s="82"/>
      <c r="P76" s="82"/>
      <c r="Q76" s="82"/>
      <c r="R76" s="91"/>
      <c r="S76" s="91"/>
      <c r="T76" s="91"/>
      <c r="U76" s="91"/>
      <c r="V76" s="82"/>
      <c r="W76" s="82"/>
      <c r="X76" s="82"/>
      <c r="Y76" s="82"/>
      <c r="Z76" s="91"/>
      <c r="AA76" s="91"/>
      <c r="AB76" s="91"/>
      <c r="AC76" s="91"/>
      <c r="AD76" s="82"/>
      <c r="AE76" s="82"/>
      <c r="AF76" s="82"/>
      <c r="AG76" s="82"/>
      <c r="AH76" s="91"/>
      <c r="AI76" s="91"/>
      <c r="AJ76" s="91"/>
      <c r="AK76" s="91"/>
      <c r="AL76" s="82"/>
      <c r="AM76" s="82"/>
      <c r="AN76" s="82"/>
      <c r="AO76" s="82"/>
      <c r="AP76" s="91"/>
      <c r="AQ76" s="91"/>
      <c r="AR76" s="91"/>
      <c r="AS76" s="91"/>
      <c r="AT76" s="82"/>
      <c r="AU76" s="82"/>
      <c r="AV76" s="82"/>
      <c r="AW76" s="82"/>
      <c r="AX76" s="91"/>
      <c r="AY76" s="91"/>
      <c r="AZ76" s="91"/>
      <c r="BA76" s="91"/>
      <c r="BB76" s="82"/>
      <c r="BC76" s="82"/>
      <c r="BD76" s="82"/>
      <c r="BE76" s="82"/>
      <c r="BF76" s="91"/>
      <c r="BG76" s="91"/>
      <c r="BH76" s="91"/>
      <c r="BI76" s="91"/>
      <c r="BJ76" s="82"/>
      <c r="BK76" s="82"/>
      <c r="BL76" s="82"/>
      <c r="BM76" s="82"/>
      <c r="BN76" s="91"/>
      <c r="BO76" s="91"/>
      <c r="BP76" s="91"/>
      <c r="BQ76" s="91"/>
      <c r="BR76" s="82"/>
      <c r="BS76" s="82"/>
      <c r="BT76" s="82"/>
      <c r="BU76" s="82"/>
      <c r="BV76" s="91"/>
      <c r="BW76" s="91"/>
      <c r="BX76" s="91"/>
      <c r="BY76" s="91"/>
      <c r="BZ76" s="82"/>
      <c r="CA76" s="82"/>
      <c r="CB76" s="82"/>
      <c r="CC76" s="82"/>
      <c r="CD76" s="91"/>
      <c r="CE76" s="91"/>
      <c r="CF76" s="91"/>
      <c r="CG76" s="91"/>
      <c r="CH76" s="82"/>
      <c r="CI76" s="82"/>
      <c r="CJ76" s="82"/>
      <c r="CK76" s="82"/>
      <c r="CL76" s="91"/>
      <c r="CM76" s="91"/>
      <c r="CN76" s="91"/>
      <c r="CO76" s="91"/>
      <c r="CP76" s="82"/>
      <c r="CQ76" s="82"/>
      <c r="CR76" s="82"/>
      <c r="CS76" s="82"/>
      <c r="CT76" s="91"/>
      <c r="CU76" s="91"/>
      <c r="CV76" s="91"/>
      <c r="CW76" s="91"/>
      <c r="CX76" s="82"/>
      <c r="CY76" s="82"/>
      <c r="CZ76" s="82"/>
      <c r="DA76" s="82"/>
      <c r="DB76" s="91"/>
      <c r="DC76" s="82"/>
      <c r="DD76" s="91"/>
      <c r="DE76" s="101"/>
    </row>
    <row r="77" spans="1:109" x14ac:dyDescent="0.2">
      <c r="A77" s="14">
        <v>69</v>
      </c>
      <c r="B77" s="28" t="s">
        <v>855</v>
      </c>
      <c r="C77" s="14" t="s">
        <v>892</v>
      </c>
      <c r="D77" s="22"/>
      <c r="E77" s="24"/>
      <c r="F77" s="82" t="s">
        <v>944</v>
      </c>
      <c r="G77" s="82" t="s">
        <v>659</v>
      </c>
      <c r="H77" s="82">
        <v>1</v>
      </c>
      <c r="I77" s="82">
        <v>99481.188181818186</v>
      </c>
      <c r="J77" s="91" t="s">
        <v>941</v>
      </c>
      <c r="K77" s="91" t="s">
        <v>658</v>
      </c>
      <c r="L77" s="91">
        <v>1</v>
      </c>
      <c r="M77" s="91">
        <v>99481.188181818186</v>
      </c>
      <c r="N77" s="82"/>
      <c r="O77" s="82"/>
      <c r="P77" s="82"/>
      <c r="Q77" s="82"/>
      <c r="R77" s="91"/>
      <c r="S77" s="91"/>
      <c r="T77" s="91"/>
      <c r="U77" s="91"/>
      <c r="V77" s="82"/>
      <c r="W77" s="82"/>
      <c r="X77" s="82"/>
      <c r="Y77" s="82"/>
      <c r="Z77" s="91"/>
      <c r="AA77" s="91"/>
      <c r="AB77" s="91"/>
      <c r="AC77" s="91"/>
      <c r="AD77" s="82"/>
      <c r="AE77" s="82"/>
      <c r="AF77" s="82"/>
      <c r="AG77" s="82"/>
      <c r="AH77" s="91"/>
      <c r="AI77" s="91"/>
      <c r="AJ77" s="91"/>
      <c r="AK77" s="91"/>
      <c r="AL77" s="82"/>
      <c r="AM77" s="82"/>
      <c r="AN77" s="82"/>
      <c r="AO77" s="82"/>
      <c r="AP77" s="91"/>
      <c r="AQ77" s="91"/>
      <c r="AR77" s="91"/>
      <c r="AS77" s="91"/>
      <c r="AT77" s="82"/>
      <c r="AU77" s="82"/>
      <c r="AV77" s="82"/>
      <c r="AW77" s="82"/>
      <c r="AX77" s="91"/>
      <c r="AY77" s="91"/>
      <c r="AZ77" s="91"/>
      <c r="BA77" s="91"/>
      <c r="BB77" s="82"/>
      <c r="BC77" s="82"/>
      <c r="BD77" s="82"/>
      <c r="BE77" s="82"/>
      <c r="BF77" s="91"/>
      <c r="BG77" s="91"/>
      <c r="BH77" s="91"/>
      <c r="BI77" s="91"/>
      <c r="BJ77" s="82"/>
      <c r="BK77" s="82"/>
      <c r="BL77" s="82"/>
      <c r="BM77" s="82"/>
      <c r="BN77" s="91"/>
      <c r="BO77" s="91"/>
      <c r="BP77" s="91"/>
      <c r="BQ77" s="91"/>
      <c r="BR77" s="82"/>
      <c r="BS77" s="82"/>
      <c r="BT77" s="82"/>
      <c r="BU77" s="82"/>
      <c r="BV77" s="91"/>
      <c r="BW77" s="91"/>
      <c r="BX77" s="91"/>
      <c r="BY77" s="91"/>
      <c r="BZ77" s="82"/>
      <c r="CA77" s="82"/>
      <c r="CB77" s="82"/>
      <c r="CC77" s="82"/>
      <c r="CD77" s="91"/>
      <c r="CE77" s="91"/>
      <c r="CF77" s="91"/>
      <c r="CG77" s="91"/>
      <c r="CH77" s="82"/>
      <c r="CI77" s="82"/>
      <c r="CJ77" s="82"/>
      <c r="CK77" s="82"/>
      <c r="CL77" s="91"/>
      <c r="CM77" s="91"/>
      <c r="CN77" s="91"/>
      <c r="CO77" s="91"/>
      <c r="CP77" s="82"/>
      <c r="CQ77" s="82"/>
      <c r="CR77" s="82"/>
      <c r="CS77" s="82"/>
      <c r="CT77" s="91"/>
      <c r="CU77" s="91"/>
      <c r="CV77" s="91"/>
      <c r="CW77" s="91"/>
      <c r="CX77" s="82"/>
      <c r="CY77" s="82"/>
      <c r="CZ77" s="82"/>
      <c r="DA77" s="82"/>
      <c r="DB77" s="91">
        <v>99481.188181818186</v>
      </c>
      <c r="DC77" s="82">
        <v>198962.37636363637</v>
      </c>
      <c r="DD77" s="91"/>
      <c r="DE77" s="101"/>
    </row>
    <row r="78" spans="1:109" x14ac:dyDescent="0.2">
      <c r="A78" s="14">
        <v>70</v>
      </c>
      <c r="B78" s="28" t="s">
        <v>856</v>
      </c>
      <c r="C78" s="14" t="s">
        <v>893</v>
      </c>
      <c r="D78" s="22"/>
      <c r="E78" s="24"/>
      <c r="F78" s="82" t="s">
        <v>941</v>
      </c>
      <c r="G78" s="82" t="s">
        <v>657</v>
      </c>
      <c r="H78" s="82">
        <v>1</v>
      </c>
      <c r="I78" s="82">
        <v>99481.188181818186</v>
      </c>
      <c r="J78" s="91"/>
      <c r="K78" s="91"/>
      <c r="L78" s="91"/>
      <c r="M78" s="91"/>
      <c r="N78" s="82"/>
      <c r="O78" s="82"/>
      <c r="P78" s="82"/>
      <c r="Q78" s="82"/>
      <c r="R78" s="91"/>
      <c r="S78" s="91"/>
      <c r="T78" s="91"/>
      <c r="U78" s="91"/>
      <c r="V78" s="82"/>
      <c r="W78" s="82"/>
      <c r="X78" s="82"/>
      <c r="Y78" s="82"/>
      <c r="Z78" s="91"/>
      <c r="AA78" s="91"/>
      <c r="AB78" s="91"/>
      <c r="AC78" s="91"/>
      <c r="AD78" s="82"/>
      <c r="AE78" s="82"/>
      <c r="AF78" s="82"/>
      <c r="AG78" s="82"/>
      <c r="AH78" s="91"/>
      <c r="AI78" s="91"/>
      <c r="AJ78" s="91"/>
      <c r="AK78" s="91"/>
      <c r="AL78" s="82"/>
      <c r="AM78" s="82"/>
      <c r="AN78" s="82"/>
      <c r="AO78" s="82"/>
      <c r="AP78" s="91"/>
      <c r="AQ78" s="91"/>
      <c r="AR78" s="91"/>
      <c r="AS78" s="91"/>
      <c r="AT78" s="82"/>
      <c r="AU78" s="82"/>
      <c r="AV78" s="82"/>
      <c r="AW78" s="82"/>
      <c r="AX78" s="91"/>
      <c r="AY78" s="91"/>
      <c r="AZ78" s="91"/>
      <c r="BA78" s="91"/>
      <c r="BB78" s="82"/>
      <c r="BC78" s="82"/>
      <c r="BD78" s="82"/>
      <c r="BE78" s="82"/>
      <c r="BF78" s="91"/>
      <c r="BG78" s="91"/>
      <c r="BH78" s="91"/>
      <c r="BI78" s="91"/>
      <c r="BJ78" s="82"/>
      <c r="BK78" s="82"/>
      <c r="BL78" s="82"/>
      <c r="BM78" s="82"/>
      <c r="BN78" s="91"/>
      <c r="BO78" s="91"/>
      <c r="BP78" s="91"/>
      <c r="BQ78" s="91"/>
      <c r="BR78" s="82"/>
      <c r="BS78" s="82"/>
      <c r="BT78" s="82"/>
      <c r="BU78" s="82"/>
      <c r="BV78" s="91"/>
      <c r="BW78" s="91"/>
      <c r="BX78" s="91"/>
      <c r="BY78" s="91"/>
      <c r="BZ78" s="82"/>
      <c r="CA78" s="82"/>
      <c r="CB78" s="82"/>
      <c r="CC78" s="82"/>
      <c r="CD78" s="91"/>
      <c r="CE78" s="91"/>
      <c r="CF78" s="91"/>
      <c r="CG78" s="91"/>
      <c r="CH78" s="82"/>
      <c r="CI78" s="82"/>
      <c r="CJ78" s="82"/>
      <c r="CK78" s="82"/>
      <c r="CL78" s="91"/>
      <c r="CM78" s="91"/>
      <c r="CN78" s="91"/>
      <c r="CO78" s="91"/>
      <c r="CP78" s="82"/>
      <c r="CQ78" s="82"/>
      <c r="CR78" s="82"/>
      <c r="CS78" s="82"/>
      <c r="CT78" s="91"/>
      <c r="CU78" s="91"/>
      <c r="CV78" s="91"/>
      <c r="CW78" s="91"/>
      <c r="CX78" s="82"/>
      <c r="CY78" s="82"/>
      <c r="CZ78" s="82"/>
      <c r="DA78" s="82"/>
      <c r="DB78" s="91">
        <v>99481.188181818186</v>
      </c>
      <c r="DC78" s="82">
        <v>99481.188181818186</v>
      </c>
      <c r="DD78" s="91"/>
      <c r="DE78" s="101"/>
    </row>
    <row r="79" spans="1:109" x14ac:dyDescent="0.2">
      <c r="A79" s="14">
        <v>71</v>
      </c>
      <c r="B79" s="28" t="s">
        <v>918</v>
      </c>
      <c r="C79" s="14" t="s">
        <v>972</v>
      </c>
      <c r="D79" s="22"/>
      <c r="E79" s="24"/>
      <c r="F79" s="82" t="s">
        <v>950</v>
      </c>
      <c r="G79" s="82" t="s">
        <v>662</v>
      </c>
      <c r="H79" s="82">
        <v>0.89124999999999988</v>
      </c>
      <c r="I79" s="82">
        <v>88662.608967045453</v>
      </c>
      <c r="J79" s="91" t="s">
        <v>963</v>
      </c>
      <c r="K79" s="91" t="s">
        <v>662</v>
      </c>
      <c r="L79" s="91">
        <v>0.90375000000000005</v>
      </c>
      <c r="M79" s="91">
        <v>89906.123819318193</v>
      </c>
      <c r="N79" s="82" t="s">
        <v>966</v>
      </c>
      <c r="O79" s="82" t="s">
        <v>662</v>
      </c>
      <c r="P79" s="82">
        <v>0.40249999999999986</v>
      </c>
      <c r="Q79" s="82">
        <v>40041.178243181806</v>
      </c>
      <c r="R79" s="91" t="s">
        <v>955</v>
      </c>
      <c r="S79" s="91" t="s">
        <v>662</v>
      </c>
      <c r="T79" s="91">
        <v>0.31000000000000005</v>
      </c>
      <c r="U79" s="91">
        <v>30839.168336363644</v>
      </c>
      <c r="V79" s="82" t="s">
        <v>948</v>
      </c>
      <c r="W79" s="82" t="s">
        <v>662</v>
      </c>
      <c r="X79" s="82">
        <v>0.6262500000000002</v>
      </c>
      <c r="Y79" s="82">
        <v>62300.094098863658</v>
      </c>
      <c r="Z79" s="91" t="s">
        <v>961</v>
      </c>
      <c r="AA79" s="91" t="s">
        <v>662</v>
      </c>
      <c r="AB79" s="91">
        <v>0.88249999999999984</v>
      </c>
      <c r="AC79" s="91">
        <v>87792.148570454534</v>
      </c>
      <c r="AD79" s="82" t="s">
        <v>945</v>
      </c>
      <c r="AE79" s="82" t="s">
        <v>662</v>
      </c>
      <c r="AF79" s="82">
        <v>0.3137500000000002</v>
      </c>
      <c r="AG79" s="82">
        <v>31212.222792045475</v>
      </c>
      <c r="AH79" s="91"/>
      <c r="AI79" s="91"/>
      <c r="AJ79" s="91"/>
      <c r="AK79" s="91"/>
      <c r="AL79" s="82"/>
      <c r="AM79" s="82"/>
      <c r="AN79" s="82"/>
      <c r="AO79" s="82"/>
      <c r="AP79" s="91"/>
      <c r="AQ79" s="91"/>
      <c r="AR79" s="91"/>
      <c r="AS79" s="91"/>
      <c r="AT79" s="82"/>
      <c r="AU79" s="82"/>
      <c r="AV79" s="82"/>
      <c r="AW79" s="82"/>
      <c r="AX79" s="91"/>
      <c r="AY79" s="91"/>
      <c r="AZ79" s="91"/>
      <c r="BA79" s="91"/>
      <c r="BB79" s="82"/>
      <c r="BC79" s="82"/>
      <c r="BD79" s="82"/>
      <c r="BE79" s="82"/>
      <c r="BF79" s="91"/>
      <c r="BG79" s="91"/>
      <c r="BH79" s="91"/>
      <c r="BI79" s="91"/>
      <c r="BJ79" s="82"/>
      <c r="BK79" s="82"/>
      <c r="BL79" s="82"/>
      <c r="BM79" s="82"/>
      <c r="BN79" s="91"/>
      <c r="BO79" s="91"/>
      <c r="BP79" s="91"/>
      <c r="BQ79" s="91"/>
      <c r="BR79" s="82"/>
      <c r="BS79" s="82"/>
      <c r="BT79" s="82"/>
      <c r="BU79" s="82"/>
      <c r="BV79" s="91"/>
      <c r="BW79" s="91"/>
      <c r="BX79" s="91"/>
      <c r="BY79" s="91"/>
      <c r="BZ79" s="82"/>
      <c r="CA79" s="82"/>
      <c r="CB79" s="82"/>
      <c r="CC79" s="82"/>
      <c r="CD79" s="91"/>
      <c r="CE79" s="91"/>
      <c r="CF79" s="91"/>
      <c r="CG79" s="91"/>
      <c r="CH79" s="82"/>
      <c r="CI79" s="82"/>
      <c r="CJ79" s="82"/>
      <c r="CK79" s="82"/>
      <c r="CL79" s="91"/>
      <c r="CM79" s="91"/>
      <c r="CN79" s="91"/>
      <c r="CO79" s="91"/>
      <c r="CP79" s="82"/>
      <c r="CQ79" s="82"/>
      <c r="CR79" s="82"/>
      <c r="CS79" s="82"/>
      <c r="CT79" s="91"/>
      <c r="CU79" s="91"/>
      <c r="CV79" s="91"/>
      <c r="CW79" s="91"/>
      <c r="CX79" s="82"/>
      <c r="CY79" s="82"/>
      <c r="CZ79" s="82"/>
      <c r="DA79" s="82"/>
      <c r="DB79" s="91">
        <v>99481.188181818186</v>
      </c>
      <c r="DC79" s="82">
        <v>430753.54482727277</v>
      </c>
      <c r="DD79" s="91"/>
      <c r="DE79" s="101"/>
    </row>
    <row r="80" spans="1:109" x14ac:dyDescent="0.2">
      <c r="A80" s="14">
        <v>72</v>
      </c>
      <c r="B80" s="28" t="s">
        <v>919</v>
      </c>
      <c r="C80" s="14" t="s">
        <v>973</v>
      </c>
      <c r="D80" s="22"/>
      <c r="E80" s="24"/>
      <c r="F80" s="82"/>
      <c r="G80" s="82"/>
      <c r="H80" s="82"/>
      <c r="I80" s="82"/>
      <c r="J80" s="91"/>
      <c r="K80" s="91"/>
      <c r="L80" s="91"/>
      <c r="M80" s="91"/>
      <c r="N80" s="82"/>
      <c r="O80" s="82"/>
      <c r="P80" s="82"/>
      <c r="Q80" s="82"/>
      <c r="R80" s="91"/>
      <c r="S80" s="91"/>
      <c r="T80" s="91"/>
      <c r="U80" s="91"/>
      <c r="V80" s="82"/>
      <c r="W80" s="82"/>
      <c r="X80" s="82"/>
      <c r="Y80" s="82"/>
      <c r="Z80" s="91"/>
      <c r="AA80" s="91"/>
      <c r="AB80" s="91"/>
      <c r="AC80" s="91"/>
      <c r="AD80" s="82"/>
      <c r="AE80" s="82"/>
      <c r="AF80" s="82"/>
      <c r="AG80" s="82"/>
      <c r="AH80" s="91"/>
      <c r="AI80" s="91"/>
      <c r="AJ80" s="91"/>
      <c r="AK80" s="91"/>
      <c r="AL80" s="82"/>
      <c r="AM80" s="82"/>
      <c r="AN80" s="82"/>
      <c r="AO80" s="82"/>
      <c r="AP80" s="91"/>
      <c r="AQ80" s="91"/>
      <c r="AR80" s="91"/>
      <c r="AS80" s="91"/>
      <c r="AT80" s="82"/>
      <c r="AU80" s="82"/>
      <c r="AV80" s="82"/>
      <c r="AW80" s="82"/>
      <c r="AX80" s="91"/>
      <c r="AY80" s="91"/>
      <c r="AZ80" s="91"/>
      <c r="BA80" s="91"/>
      <c r="BB80" s="82"/>
      <c r="BC80" s="82"/>
      <c r="BD80" s="82"/>
      <c r="BE80" s="82"/>
      <c r="BF80" s="91"/>
      <c r="BG80" s="91"/>
      <c r="BH80" s="91"/>
      <c r="BI80" s="91"/>
      <c r="BJ80" s="82"/>
      <c r="BK80" s="82"/>
      <c r="BL80" s="82"/>
      <c r="BM80" s="82"/>
      <c r="BN80" s="91"/>
      <c r="BO80" s="91"/>
      <c r="BP80" s="91"/>
      <c r="BQ80" s="91"/>
      <c r="BR80" s="82"/>
      <c r="BS80" s="82"/>
      <c r="BT80" s="82"/>
      <c r="BU80" s="82"/>
      <c r="BV80" s="91"/>
      <c r="BW80" s="91"/>
      <c r="BX80" s="91"/>
      <c r="BY80" s="91"/>
      <c r="BZ80" s="82"/>
      <c r="CA80" s="82"/>
      <c r="CB80" s="82"/>
      <c r="CC80" s="82"/>
      <c r="CD80" s="91"/>
      <c r="CE80" s="91"/>
      <c r="CF80" s="91"/>
      <c r="CG80" s="91"/>
      <c r="CH80" s="82"/>
      <c r="CI80" s="82"/>
      <c r="CJ80" s="82"/>
      <c r="CK80" s="82"/>
      <c r="CL80" s="91"/>
      <c r="CM80" s="91"/>
      <c r="CN80" s="91"/>
      <c r="CO80" s="91"/>
      <c r="CP80" s="82"/>
      <c r="CQ80" s="82"/>
      <c r="CR80" s="82"/>
      <c r="CS80" s="82"/>
      <c r="CT80" s="91"/>
      <c r="CU80" s="91"/>
      <c r="CV80" s="91"/>
      <c r="CW80" s="91"/>
      <c r="CX80" s="82"/>
      <c r="CY80" s="82"/>
      <c r="CZ80" s="82"/>
      <c r="DA80" s="82"/>
      <c r="DB80" s="91"/>
      <c r="DC80" s="82"/>
      <c r="DD80" s="91"/>
      <c r="DE80" s="101"/>
    </row>
    <row r="81" spans="1:109" x14ac:dyDescent="0.2">
      <c r="A81" s="14">
        <v>73</v>
      </c>
      <c r="B81" s="28" t="s">
        <v>920</v>
      </c>
      <c r="C81" s="14" t="s">
        <v>974</v>
      </c>
      <c r="D81" s="22"/>
      <c r="E81" s="24"/>
      <c r="F81" s="82"/>
      <c r="G81" s="82"/>
      <c r="H81" s="82"/>
      <c r="I81" s="82"/>
      <c r="J81" s="91"/>
      <c r="K81" s="91"/>
      <c r="L81" s="91"/>
      <c r="M81" s="91"/>
      <c r="N81" s="82"/>
      <c r="O81" s="82"/>
      <c r="P81" s="82"/>
      <c r="Q81" s="82"/>
      <c r="R81" s="91"/>
      <c r="S81" s="91"/>
      <c r="T81" s="91"/>
      <c r="U81" s="91"/>
      <c r="V81" s="82"/>
      <c r="W81" s="82"/>
      <c r="X81" s="82"/>
      <c r="Y81" s="82"/>
      <c r="Z81" s="91"/>
      <c r="AA81" s="91"/>
      <c r="AB81" s="91"/>
      <c r="AC81" s="91"/>
      <c r="AD81" s="82"/>
      <c r="AE81" s="82"/>
      <c r="AF81" s="82"/>
      <c r="AG81" s="82"/>
      <c r="AH81" s="91"/>
      <c r="AI81" s="91"/>
      <c r="AJ81" s="91"/>
      <c r="AK81" s="91"/>
      <c r="AL81" s="82"/>
      <c r="AM81" s="82"/>
      <c r="AN81" s="82"/>
      <c r="AO81" s="82"/>
      <c r="AP81" s="91"/>
      <c r="AQ81" s="91"/>
      <c r="AR81" s="91"/>
      <c r="AS81" s="91"/>
      <c r="AT81" s="82"/>
      <c r="AU81" s="82"/>
      <c r="AV81" s="82"/>
      <c r="AW81" s="82"/>
      <c r="AX81" s="91"/>
      <c r="AY81" s="91"/>
      <c r="AZ81" s="91"/>
      <c r="BA81" s="91"/>
      <c r="BB81" s="82"/>
      <c r="BC81" s="82"/>
      <c r="BD81" s="82"/>
      <c r="BE81" s="82"/>
      <c r="BF81" s="91"/>
      <c r="BG81" s="91"/>
      <c r="BH81" s="91"/>
      <c r="BI81" s="91"/>
      <c r="BJ81" s="82"/>
      <c r="BK81" s="82"/>
      <c r="BL81" s="82"/>
      <c r="BM81" s="82"/>
      <c r="BN81" s="91"/>
      <c r="BO81" s="91"/>
      <c r="BP81" s="91"/>
      <c r="BQ81" s="91"/>
      <c r="BR81" s="82"/>
      <c r="BS81" s="82"/>
      <c r="BT81" s="82"/>
      <c r="BU81" s="82"/>
      <c r="BV81" s="91"/>
      <c r="BW81" s="91"/>
      <c r="BX81" s="91"/>
      <c r="BY81" s="91"/>
      <c r="BZ81" s="82"/>
      <c r="CA81" s="82"/>
      <c r="CB81" s="82"/>
      <c r="CC81" s="82"/>
      <c r="CD81" s="91"/>
      <c r="CE81" s="91"/>
      <c r="CF81" s="91"/>
      <c r="CG81" s="91"/>
      <c r="CH81" s="82"/>
      <c r="CI81" s="82"/>
      <c r="CJ81" s="82"/>
      <c r="CK81" s="82"/>
      <c r="CL81" s="91"/>
      <c r="CM81" s="91"/>
      <c r="CN81" s="91"/>
      <c r="CO81" s="91"/>
      <c r="CP81" s="82"/>
      <c r="CQ81" s="82"/>
      <c r="CR81" s="82"/>
      <c r="CS81" s="82"/>
      <c r="CT81" s="91"/>
      <c r="CU81" s="91"/>
      <c r="CV81" s="91"/>
      <c r="CW81" s="91"/>
      <c r="CX81" s="82"/>
      <c r="CY81" s="82"/>
      <c r="CZ81" s="82"/>
      <c r="DA81" s="82"/>
      <c r="DB81" s="91"/>
      <c r="DC81" s="82"/>
      <c r="DD81" s="91"/>
      <c r="DE81" s="101"/>
    </row>
    <row r="82" spans="1:109" x14ac:dyDescent="0.2">
      <c r="A82" s="14">
        <v>74</v>
      </c>
      <c r="B82" s="28" t="s">
        <v>911</v>
      </c>
      <c r="C82" s="14" t="s">
        <v>975</v>
      </c>
      <c r="D82" s="22"/>
      <c r="E82" s="24"/>
      <c r="F82" s="82" t="s">
        <v>938</v>
      </c>
      <c r="G82" s="82" t="s">
        <v>657</v>
      </c>
      <c r="H82" s="82">
        <v>1</v>
      </c>
      <c r="I82" s="82">
        <v>67881.272727272721</v>
      </c>
      <c r="J82" s="91" t="s">
        <v>966</v>
      </c>
      <c r="K82" s="91" t="s">
        <v>657</v>
      </c>
      <c r="L82" s="91">
        <v>1</v>
      </c>
      <c r="M82" s="91">
        <v>67881.272727272721</v>
      </c>
      <c r="N82" s="82" t="s">
        <v>954</v>
      </c>
      <c r="O82" s="82" t="s">
        <v>657</v>
      </c>
      <c r="P82" s="82">
        <v>1</v>
      </c>
      <c r="Q82" s="82">
        <v>67881.272727272721</v>
      </c>
      <c r="R82" s="91" t="s">
        <v>944</v>
      </c>
      <c r="S82" s="91" t="s">
        <v>657</v>
      </c>
      <c r="T82" s="91">
        <v>1</v>
      </c>
      <c r="U82" s="91">
        <v>67881.272727272721</v>
      </c>
      <c r="V82" s="82" t="s">
        <v>960</v>
      </c>
      <c r="W82" s="82" t="s">
        <v>657</v>
      </c>
      <c r="X82" s="82">
        <v>1</v>
      </c>
      <c r="Y82" s="82">
        <v>67881.272727272721</v>
      </c>
      <c r="Z82" s="91" t="s">
        <v>952</v>
      </c>
      <c r="AA82" s="91" t="s">
        <v>657</v>
      </c>
      <c r="AB82" s="91">
        <v>1</v>
      </c>
      <c r="AC82" s="91">
        <v>67881.272727272721</v>
      </c>
      <c r="AD82" s="82" t="s">
        <v>941</v>
      </c>
      <c r="AE82" s="82" t="s">
        <v>657</v>
      </c>
      <c r="AF82" s="82">
        <v>1</v>
      </c>
      <c r="AG82" s="82">
        <v>67881.272727272721</v>
      </c>
      <c r="AH82" s="91"/>
      <c r="AI82" s="91"/>
      <c r="AJ82" s="91"/>
      <c r="AK82" s="91"/>
      <c r="AL82" s="82"/>
      <c r="AM82" s="82"/>
      <c r="AN82" s="82"/>
      <c r="AO82" s="82"/>
      <c r="AP82" s="91"/>
      <c r="AQ82" s="91"/>
      <c r="AR82" s="91"/>
      <c r="AS82" s="91"/>
      <c r="AT82" s="82"/>
      <c r="AU82" s="82"/>
      <c r="AV82" s="82"/>
      <c r="AW82" s="82"/>
      <c r="AX82" s="91"/>
      <c r="AY82" s="91"/>
      <c r="AZ82" s="91"/>
      <c r="BA82" s="91"/>
      <c r="BB82" s="82"/>
      <c r="BC82" s="82"/>
      <c r="BD82" s="82"/>
      <c r="BE82" s="82"/>
      <c r="BF82" s="91"/>
      <c r="BG82" s="91"/>
      <c r="BH82" s="91"/>
      <c r="BI82" s="91"/>
      <c r="BJ82" s="82"/>
      <c r="BK82" s="82"/>
      <c r="BL82" s="82"/>
      <c r="BM82" s="82"/>
      <c r="BN82" s="91"/>
      <c r="BO82" s="91"/>
      <c r="BP82" s="91"/>
      <c r="BQ82" s="91"/>
      <c r="BR82" s="82"/>
      <c r="BS82" s="82"/>
      <c r="BT82" s="82"/>
      <c r="BU82" s="82"/>
      <c r="BV82" s="91"/>
      <c r="BW82" s="91"/>
      <c r="BX82" s="91"/>
      <c r="BY82" s="91"/>
      <c r="BZ82" s="82"/>
      <c r="CA82" s="82"/>
      <c r="CB82" s="82"/>
      <c r="CC82" s="82"/>
      <c r="CD82" s="91"/>
      <c r="CE82" s="91"/>
      <c r="CF82" s="91"/>
      <c r="CG82" s="91"/>
      <c r="CH82" s="82"/>
      <c r="CI82" s="82"/>
      <c r="CJ82" s="82"/>
      <c r="CK82" s="82"/>
      <c r="CL82" s="91"/>
      <c r="CM82" s="91"/>
      <c r="CN82" s="91"/>
      <c r="CO82" s="91"/>
      <c r="CP82" s="82"/>
      <c r="CQ82" s="82"/>
      <c r="CR82" s="82"/>
      <c r="CS82" s="82"/>
      <c r="CT82" s="91"/>
      <c r="CU82" s="91"/>
      <c r="CV82" s="91"/>
      <c r="CW82" s="91"/>
      <c r="CX82" s="82"/>
      <c r="CY82" s="82"/>
      <c r="CZ82" s="82"/>
      <c r="DA82" s="82"/>
      <c r="DB82" s="91">
        <v>67881.272727272721</v>
      </c>
      <c r="DC82" s="82">
        <v>475168.909090909</v>
      </c>
      <c r="DD82" s="91"/>
      <c r="DE82" s="101"/>
    </row>
    <row r="83" spans="1:109" x14ac:dyDescent="0.2">
      <c r="A83" s="14">
        <v>75</v>
      </c>
      <c r="B83" s="28" t="s">
        <v>921</v>
      </c>
      <c r="C83" s="14" t="s">
        <v>976</v>
      </c>
      <c r="D83" s="22"/>
      <c r="E83" s="24"/>
      <c r="F83" s="82"/>
      <c r="G83" s="82"/>
      <c r="H83" s="82"/>
      <c r="I83" s="82"/>
      <c r="J83" s="91"/>
      <c r="K83" s="91"/>
      <c r="L83" s="91"/>
      <c r="M83" s="91"/>
      <c r="N83" s="82"/>
      <c r="O83" s="82"/>
      <c r="P83" s="82"/>
      <c r="Q83" s="82"/>
      <c r="R83" s="91"/>
      <c r="S83" s="91"/>
      <c r="T83" s="91"/>
      <c r="U83" s="91"/>
      <c r="V83" s="82"/>
      <c r="W83" s="82"/>
      <c r="X83" s="82"/>
      <c r="Y83" s="82"/>
      <c r="Z83" s="91"/>
      <c r="AA83" s="91"/>
      <c r="AB83" s="91"/>
      <c r="AC83" s="91"/>
      <c r="AD83" s="82"/>
      <c r="AE83" s="82"/>
      <c r="AF83" s="82"/>
      <c r="AG83" s="82"/>
      <c r="AH83" s="91"/>
      <c r="AI83" s="91"/>
      <c r="AJ83" s="91"/>
      <c r="AK83" s="91"/>
      <c r="AL83" s="82"/>
      <c r="AM83" s="82"/>
      <c r="AN83" s="82"/>
      <c r="AO83" s="82"/>
      <c r="AP83" s="91"/>
      <c r="AQ83" s="91"/>
      <c r="AR83" s="91"/>
      <c r="AS83" s="91"/>
      <c r="AT83" s="82"/>
      <c r="AU83" s="82"/>
      <c r="AV83" s="82"/>
      <c r="AW83" s="82"/>
      <c r="AX83" s="91"/>
      <c r="AY83" s="91"/>
      <c r="AZ83" s="91"/>
      <c r="BA83" s="91"/>
      <c r="BB83" s="82"/>
      <c r="BC83" s="82"/>
      <c r="BD83" s="82"/>
      <c r="BE83" s="82"/>
      <c r="BF83" s="91"/>
      <c r="BG83" s="91"/>
      <c r="BH83" s="91"/>
      <c r="BI83" s="91"/>
      <c r="BJ83" s="82"/>
      <c r="BK83" s="82"/>
      <c r="BL83" s="82"/>
      <c r="BM83" s="82"/>
      <c r="BN83" s="91"/>
      <c r="BO83" s="91"/>
      <c r="BP83" s="91"/>
      <c r="BQ83" s="91"/>
      <c r="BR83" s="82"/>
      <c r="BS83" s="82"/>
      <c r="BT83" s="82"/>
      <c r="BU83" s="82"/>
      <c r="BV83" s="91"/>
      <c r="BW83" s="91"/>
      <c r="BX83" s="91"/>
      <c r="BY83" s="91"/>
      <c r="BZ83" s="82"/>
      <c r="CA83" s="82"/>
      <c r="CB83" s="82"/>
      <c r="CC83" s="82"/>
      <c r="CD83" s="91"/>
      <c r="CE83" s="91"/>
      <c r="CF83" s="91"/>
      <c r="CG83" s="91"/>
      <c r="CH83" s="82"/>
      <c r="CI83" s="82"/>
      <c r="CJ83" s="82"/>
      <c r="CK83" s="82"/>
      <c r="CL83" s="91"/>
      <c r="CM83" s="91"/>
      <c r="CN83" s="91"/>
      <c r="CO83" s="91"/>
      <c r="CP83" s="82"/>
      <c r="CQ83" s="82"/>
      <c r="CR83" s="82"/>
      <c r="CS83" s="82"/>
      <c r="CT83" s="91"/>
      <c r="CU83" s="91"/>
      <c r="CV83" s="91"/>
      <c r="CW83" s="91"/>
      <c r="CX83" s="82"/>
      <c r="CY83" s="82"/>
      <c r="CZ83" s="82"/>
      <c r="DA83" s="82"/>
      <c r="DB83" s="91"/>
      <c r="DC83" s="82"/>
      <c r="DD83" s="91"/>
      <c r="DE83" s="101"/>
    </row>
    <row r="84" spans="1:109" x14ac:dyDescent="0.2">
      <c r="A84" s="14">
        <v>76</v>
      </c>
      <c r="B84" s="28" t="s">
        <v>857</v>
      </c>
      <c r="C84" s="14" t="s">
        <v>894</v>
      </c>
      <c r="D84" s="22"/>
      <c r="E84" s="24"/>
      <c r="F84" s="82" t="s">
        <v>938</v>
      </c>
      <c r="G84" s="82" t="s">
        <v>657</v>
      </c>
      <c r="H84" s="82">
        <v>0.78750000000000009</v>
      </c>
      <c r="I84" s="82">
        <v>73733.115988636375</v>
      </c>
      <c r="J84" s="91"/>
      <c r="K84" s="91"/>
      <c r="L84" s="91"/>
      <c r="M84" s="91"/>
      <c r="N84" s="82"/>
      <c r="O84" s="82"/>
      <c r="P84" s="82"/>
      <c r="Q84" s="82"/>
      <c r="R84" s="91"/>
      <c r="S84" s="91"/>
      <c r="T84" s="91"/>
      <c r="U84" s="91"/>
      <c r="V84" s="82"/>
      <c r="W84" s="82"/>
      <c r="X84" s="82"/>
      <c r="Y84" s="82"/>
      <c r="Z84" s="91"/>
      <c r="AA84" s="91"/>
      <c r="AB84" s="91"/>
      <c r="AC84" s="91"/>
      <c r="AD84" s="82"/>
      <c r="AE84" s="82"/>
      <c r="AF84" s="82"/>
      <c r="AG84" s="82"/>
      <c r="AH84" s="93"/>
      <c r="AI84" s="94"/>
      <c r="AJ84" s="94"/>
      <c r="AK84" s="95"/>
      <c r="AL84" s="82"/>
      <c r="AM84" s="82"/>
      <c r="AN84" s="82"/>
      <c r="AO84" s="82"/>
      <c r="AP84" s="91"/>
      <c r="AQ84" s="91"/>
      <c r="AR84" s="91"/>
      <c r="AS84" s="91"/>
      <c r="AT84" s="82"/>
      <c r="AU84" s="82"/>
      <c r="AV84" s="82"/>
      <c r="AW84" s="82"/>
      <c r="AX84" s="91"/>
      <c r="AY84" s="91"/>
      <c r="AZ84" s="91"/>
      <c r="BA84" s="91"/>
      <c r="BB84" s="82"/>
      <c r="BC84" s="82"/>
      <c r="BD84" s="82"/>
      <c r="BE84" s="82"/>
      <c r="BF84" s="91"/>
      <c r="BG84" s="91"/>
      <c r="BH84" s="91"/>
      <c r="BI84" s="91"/>
      <c r="BJ84" s="82"/>
      <c r="BK84" s="82"/>
      <c r="BL84" s="82"/>
      <c r="BM84" s="82"/>
      <c r="BN84" s="91"/>
      <c r="BO84" s="91"/>
      <c r="BP84" s="91"/>
      <c r="BQ84" s="91"/>
      <c r="BR84" s="82"/>
      <c r="BS84" s="82"/>
      <c r="BT84" s="82"/>
      <c r="BU84" s="82"/>
      <c r="BV84" s="91"/>
      <c r="BW84" s="91"/>
      <c r="BX84" s="91"/>
      <c r="BY84" s="91"/>
      <c r="BZ84" s="82"/>
      <c r="CA84" s="82"/>
      <c r="CB84" s="82"/>
      <c r="CC84" s="82"/>
      <c r="CD84" s="91"/>
      <c r="CE84" s="91"/>
      <c r="CF84" s="91"/>
      <c r="CG84" s="91"/>
      <c r="CH84" s="82"/>
      <c r="CI84" s="82"/>
      <c r="CJ84" s="82"/>
      <c r="CK84" s="82"/>
      <c r="CL84" s="91"/>
      <c r="CM84" s="91"/>
      <c r="CN84" s="91"/>
      <c r="CO84" s="91"/>
      <c r="CP84" s="82"/>
      <c r="CQ84" s="82"/>
      <c r="CR84" s="82"/>
      <c r="CS84" s="82"/>
      <c r="CT84" s="91"/>
      <c r="CU84" s="91"/>
      <c r="CV84" s="91"/>
      <c r="CW84" s="91"/>
      <c r="CX84" s="82"/>
      <c r="CY84" s="82"/>
      <c r="CZ84" s="82"/>
      <c r="DA84" s="82"/>
      <c r="DB84" s="91">
        <v>93629.353636363638</v>
      </c>
      <c r="DC84" s="82">
        <v>73733.115988636375</v>
      </c>
      <c r="DD84" s="91"/>
      <c r="DE84" s="101"/>
    </row>
    <row r="85" spans="1:109" x14ac:dyDescent="0.2">
      <c r="A85" s="14">
        <v>77</v>
      </c>
      <c r="B85" s="28" t="s">
        <v>914</v>
      </c>
      <c r="C85" s="14" t="s">
        <v>977</v>
      </c>
      <c r="D85" s="22"/>
      <c r="E85" s="24"/>
      <c r="F85" s="82" t="s">
        <v>960</v>
      </c>
      <c r="G85" s="82" t="s">
        <v>658</v>
      </c>
      <c r="H85" s="82">
        <v>0.875</v>
      </c>
      <c r="I85" s="82">
        <v>81925.684431818183</v>
      </c>
      <c r="J85" s="91"/>
      <c r="K85" s="91"/>
      <c r="L85" s="91"/>
      <c r="M85" s="91"/>
      <c r="N85" s="82"/>
      <c r="O85" s="82"/>
      <c r="P85" s="82"/>
      <c r="Q85" s="82"/>
      <c r="R85" s="91"/>
      <c r="S85" s="91"/>
      <c r="T85" s="91"/>
      <c r="U85" s="91"/>
      <c r="V85" s="82"/>
      <c r="W85" s="82"/>
      <c r="X85" s="82"/>
      <c r="Y85" s="82"/>
      <c r="Z85" s="91"/>
      <c r="AA85" s="91"/>
      <c r="AB85" s="91"/>
      <c r="AC85" s="91"/>
      <c r="AD85" s="82"/>
      <c r="AE85" s="82"/>
      <c r="AF85" s="82"/>
      <c r="AG85" s="82"/>
      <c r="AH85" s="91"/>
      <c r="AI85" s="91"/>
      <c r="AJ85" s="91"/>
      <c r="AK85" s="91"/>
      <c r="AL85" s="82"/>
      <c r="AM85" s="82"/>
      <c r="AN85" s="82"/>
      <c r="AO85" s="82"/>
      <c r="AP85" s="91"/>
      <c r="AQ85" s="91"/>
      <c r="AR85" s="91"/>
      <c r="AS85" s="91"/>
      <c r="AT85" s="82"/>
      <c r="AU85" s="82"/>
      <c r="AV85" s="82"/>
      <c r="AW85" s="82"/>
      <c r="AX85" s="91"/>
      <c r="AY85" s="91"/>
      <c r="AZ85" s="91"/>
      <c r="BA85" s="91"/>
      <c r="BB85" s="82"/>
      <c r="BC85" s="82"/>
      <c r="BD85" s="82"/>
      <c r="BE85" s="82"/>
      <c r="BF85" s="91"/>
      <c r="BG85" s="91"/>
      <c r="BH85" s="91"/>
      <c r="BI85" s="91"/>
      <c r="BJ85" s="82"/>
      <c r="BK85" s="82"/>
      <c r="BL85" s="82"/>
      <c r="BM85" s="82"/>
      <c r="BN85" s="91"/>
      <c r="BO85" s="91"/>
      <c r="BP85" s="91"/>
      <c r="BQ85" s="91"/>
      <c r="BR85" s="82"/>
      <c r="BS85" s="82"/>
      <c r="BT85" s="82"/>
      <c r="BU85" s="82"/>
      <c r="BV85" s="91"/>
      <c r="BW85" s="91"/>
      <c r="BX85" s="91"/>
      <c r="BY85" s="91"/>
      <c r="BZ85" s="82"/>
      <c r="CA85" s="82"/>
      <c r="CB85" s="82"/>
      <c r="CC85" s="82"/>
      <c r="CD85" s="91"/>
      <c r="CE85" s="91"/>
      <c r="CF85" s="91"/>
      <c r="CG85" s="91"/>
      <c r="CH85" s="82"/>
      <c r="CI85" s="82"/>
      <c r="CJ85" s="82"/>
      <c r="CK85" s="82"/>
      <c r="CL85" s="91"/>
      <c r="CM85" s="91"/>
      <c r="CN85" s="91"/>
      <c r="CO85" s="91"/>
      <c r="CP85" s="82"/>
      <c r="CQ85" s="82"/>
      <c r="CR85" s="82"/>
      <c r="CS85" s="82"/>
      <c r="CT85" s="91"/>
      <c r="CU85" s="91"/>
      <c r="CV85" s="91"/>
      <c r="CW85" s="91"/>
      <c r="CX85" s="82"/>
      <c r="CY85" s="82"/>
      <c r="CZ85" s="82"/>
      <c r="DA85" s="82"/>
      <c r="DB85" s="91">
        <v>93629.353636363638</v>
      </c>
      <c r="DC85" s="82">
        <v>81925.684431818183</v>
      </c>
      <c r="DD85" s="91"/>
      <c r="DE85" s="101"/>
    </row>
    <row r="86" spans="1:109" x14ac:dyDescent="0.2">
      <c r="A86" s="14">
        <v>78</v>
      </c>
      <c r="B86" s="28" t="s">
        <v>913</v>
      </c>
      <c r="C86" s="14" t="s">
        <v>978</v>
      </c>
      <c r="D86" s="22"/>
      <c r="E86" s="24"/>
      <c r="F86" s="82" t="s">
        <v>938</v>
      </c>
      <c r="G86" s="82" t="s">
        <v>657</v>
      </c>
      <c r="H86" s="82">
        <v>1</v>
      </c>
      <c r="I86" s="82">
        <v>93629.353636363638</v>
      </c>
      <c r="J86" s="91" t="s">
        <v>964</v>
      </c>
      <c r="K86" s="91" t="s">
        <v>657</v>
      </c>
      <c r="L86" s="91">
        <v>1</v>
      </c>
      <c r="M86" s="91">
        <v>93629.353636363638</v>
      </c>
      <c r="N86" s="82" t="s">
        <v>961</v>
      </c>
      <c r="O86" s="82" t="s">
        <v>662</v>
      </c>
      <c r="P86" s="82">
        <v>1</v>
      </c>
      <c r="Q86" s="82">
        <v>93629.353636363638</v>
      </c>
      <c r="R86" s="91"/>
      <c r="S86" s="91"/>
      <c r="T86" s="91"/>
      <c r="U86" s="91"/>
      <c r="V86" s="82"/>
      <c r="W86" s="82"/>
      <c r="X86" s="82"/>
      <c r="Y86" s="82"/>
      <c r="Z86" s="91"/>
      <c r="AA86" s="91"/>
      <c r="AB86" s="91"/>
      <c r="AC86" s="91"/>
      <c r="AD86" s="82"/>
      <c r="AE86" s="82"/>
      <c r="AF86" s="82"/>
      <c r="AG86" s="82"/>
      <c r="AH86" s="91"/>
      <c r="AI86" s="91"/>
      <c r="AJ86" s="91"/>
      <c r="AK86" s="91"/>
      <c r="AL86" s="82"/>
      <c r="AM86" s="82"/>
      <c r="AN86" s="82"/>
      <c r="AO86" s="82"/>
      <c r="AP86" s="91"/>
      <c r="AQ86" s="91"/>
      <c r="AR86" s="91"/>
      <c r="AS86" s="91"/>
      <c r="AT86" s="82"/>
      <c r="AU86" s="82"/>
      <c r="AV86" s="82"/>
      <c r="AW86" s="82"/>
      <c r="AX86" s="91"/>
      <c r="AY86" s="91"/>
      <c r="AZ86" s="91"/>
      <c r="BA86" s="91"/>
      <c r="BB86" s="82"/>
      <c r="BC86" s="82"/>
      <c r="BD86" s="82"/>
      <c r="BE86" s="82"/>
      <c r="BF86" s="91"/>
      <c r="BG86" s="91"/>
      <c r="BH86" s="91"/>
      <c r="BI86" s="91"/>
      <c r="BJ86" s="82"/>
      <c r="BK86" s="82"/>
      <c r="BL86" s="82"/>
      <c r="BM86" s="82"/>
      <c r="BN86" s="91"/>
      <c r="BO86" s="91"/>
      <c r="BP86" s="91"/>
      <c r="BQ86" s="91"/>
      <c r="BR86" s="82"/>
      <c r="BS86" s="82"/>
      <c r="BT86" s="82"/>
      <c r="BU86" s="82"/>
      <c r="BV86" s="91"/>
      <c r="BW86" s="91"/>
      <c r="BX86" s="91"/>
      <c r="BY86" s="91"/>
      <c r="BZ86" s="82"/>
      <c r="CA86" s="82"/>
      <c r="CB86" s="82"/>
      <c r="CC86" s="82"/>
      <c r="CD86" s="91"/>
      <c r="CE86" s="91"/>
      <c r="CF86" s="91"/>
      <c r="CG86" s="91"/>
      <c r="CH86" s="82"/>
      <c r="CI86" s="82"/>
      <c r="CJ86" s="82"/>
      <c r="CK86" s="82"/>
      <c r="CL86" s="91"/>
      <c r="CM86" s="91"/>
      <c r="CN86" s="91"/>
      <c r="CO86" s="91"/>
      <c r="CP86" s="82"/>
      <c r="CQ86" s="82"/>
      <c r="CR86" s="82"/>
      <c r="CS86" s="82"/>
      <c r="CT86" s="91"/>
      <c r="CU86" s="91"/>
      <c r="CV86" s="91"/>
      <c r="CW86" s="91"/>
      <c r="CX86" s="82"/>
      <c r="CY86" s="82"/>
      <c r="CZ86" s="82"/>
      <c r="DA86" s="82"/>
      <c r="DB86" s="91">
        <v>93629.353636363638</v>
      </c>
      <c r="DC86" s="82">
        <v>280888.06090909091</v>
      </c>
      <c r="DD86" s="91"/>
      <c r="DE86" s="101"/>
    </row>
    <row r="87" spans="1:109" x14ac:dyDescent="0.2">
      <c r="A87" s="14">
        <v>79</v>
      </c>
      <c r="B87" s="28" t="s">
        <v>922</v>
      </c>
      <c r="C87" s="14" t="s">
        <v>979</v>
      </c>
      <c r="D87" s="22"/>
      <c r="E87" s="24"/>
      <c r="F87" s="82"/>
      <c r="G87" s="82"/>
      <c r="H87" s="82"/>
      <c r="I87" s="82"/>
      <c r="J87" s="91"/>
      <c r="K87" s="91"/>
      <c r="L87" s="91"/>
      <c r="M87" s="91"/>
      <c r="N87" s="82"/>
      <c r="O87" s="82"/>
      <c r="P87" s="82"/>
      <c r="Q87" s="82"/>
      <c r="R87" s="91"/>
      <c r="S87" s="91"/>
      <c r="T87" s="91"/>
      <c r="U87" s="91"/>
      <c r="V87" s="82"/>
      <c r="W87" s="82"/>
      <c r="X87" s="82"/>
      <c r="Y87" s="82"/>
      <c r="Z87" s="91"/>
      <c r="AA87" s="91"/>
      <c r="AB87" s="91"/>
      <c r="AC87" s="91"/>
      <c r="AD87" s="82"/>
      <c r="AE87" s="82"/>
      <c r="AF87" s="82"/>
      <c r="AG87" s="82"/>
      <c r="AH87" s="91"/>
      <c r="AI87" s="91"/>
      <c r="AJ87" s="91"/>
      <c r="AK87" s="91"/>
      <c r="AL87" s="82"/>
      <c r="AM87" s="82"/>
      <c r="AN87" s="82"/>
      <c r="AO87" s="82"/>
      <c r="AP87" s="91"/>
      <c r="AQ87" s="91"/>
      <c r="AR87" s="91"/>
      <c r="AS87" s="91"/>
      <c r="AT87" s="82"/>
      <c r="AU87" s="82"/>
      <c r="AV87" s="82"/>
      <c r="AW87" s="82"/>
      <c r="AX87" s="91"/>
      <c r="AY87" s="91"/>
      <c r="AZ87" s="91"/>
      <c r="BA87" s="91"/>
      <c r="BB87" s="82"/>
      <c r="BC87" s="82"/>
      <c r="BD87" s="82"/>
      <c r="BE87" s="82"/>
      <c r="BF87" s="91"/>
      <c r="BG87" s="91"/>
      <c r="BH87" s="91"/>
      <c r="BI87" s="91"/>
      <c r="BJ87" s="82"/>
      <c r="BK87" s="82"/>
      <c r="BL87" s="82"/>
      <c r="BM87" s="82"/>
      <c r="BN87" s="91"/>
      <c r="BO87" s="91"/>
      <c r="BP87" s="91"/>
      <c r="BQ87" s="91"/>
      <c r="BR87" s="82"/>
      <c r="BS87" s="82"/>
      <c r="BT87" s="82"/>
      <c r="BU87" s="82"/>
      <c r="BV87" s="91"/>
      <c r="BW87" s="91"/>
      <c r="BX87" s="91"/>
      <c r="BY87" s="91"/>
      <c r="BZ87" s="82"/>
      <c r="CA87" s="82"/>
      <c r="CB87" s="82"/>
      <c r="CC87" s="82"/>
      <c r="CD87" s="91"/>
      <c r="CE87" s="91"/>
      <c r="CF87" s="91"/>
      <c r="CG87" s="91"/>
      <c r="CH87" s="82"/>
      <c r="CI87" s="82"/>
      <c r="CJ87" s="82"/>
      <c r="CK87" s="82"/>
      <c r="CL87" s="91"/>
      <c r="CM87" s="91"/>
      <c r="CN87" s="91"/>
      <c r="CO87" s="91"/>
      <c r="CP87" s="82"/>
      <c r="CQ87" s="82"/>
      <c r="CR87" s="82"/>
      <c r="CS87" s="82"/>
      <c r="CT87" s="91"/>
      <c r="CU87" s="91"/>
      <c r="CV87" s="91"/>
      <c r="CW87" s="91"/>
      <c r="CX87" s="82"/>
      <c r="CY87" s="82"/>
      <c r="CZ87" s="82"/>
      <c r="DA87" s="82"/>
      <c r="DB87" s="91"/>
      <c r="DC87" s="82"/>
      <c r="DD87" s="91"/>
      <c r="DE87" s="101"/>
    </row>
    <row r="88" spans="1:109" x14ac:dyDescent="0.2">
      <c r="A88" s="14">
        <v>80</v>
      </c>
      <c r="B88" s="28" t="s">
        <v>923</v>
      </c>
      <c r="C88" s="14" t="s">
        <v>980</v>
      </c>
      <c r="D88" s="22"/>
      <c r="E88" s="24"/>
      <c r="F88" s="82" t="s">
        <v>938</v>
      </c>
      <c r="G88" s="82" t="s">
        <v>659</v>
      </c>
      <c r="H88" s="82">
        <v>1</v>
      </c>
      <c r="I88" s="82">
        <v>99481.188181818186</v>
      </c>
      <c r="J88" s="91" t="s">
        <v>949</v>
      </c>
      <c r="K88" s="91" t="s">
        <v>659</v>
      </c>
      <c r="L88" s="91">
        <v>1</v>
      </c>
      <c r="M88" s="91">
        <v>99481.188181818186</v>
      </c>
      <c r="N88" s="82"/>
      <c r="O88" s="82"/>
      <c r="P88" s="82"/>
      <c r="Q88" s="82"/>
      <c r="R88" s="91"/>
      <c r="S88" s="91"/>
      <c r="T88" s="91"/>
      <c r="U88" s="91"/>
      <c r="V88" s="82"/>
      <c r="W88" s="82"/>
      <c r="X88" s="82"/>
      <c r="Y88" s="82"/>
      <c r="Z88" s="91"/>
      <c r="AA88" s="91"/>
      <c r="AB88" s="91"/>
      <c r="AC88" s="91"/>
      <c r="AD88" s="82"/>
      <c r="AE88" s="82"/>
      <c r="AF88" s="82"/>
      <c r="AG88" s="82"/>
      <c r="AH88" s="91"/>
      <c r="AI88" s="91"/>
      <c r="AJ88" s="91"/>
      <c r="AK88" s="91"/>
      <c r="AL88" s="82"/>
      <c r="AM88" s="82"/>
      <c r="AN88" s="82"/>
      <c r="AO88" s="82"/>
      <c r="AP88" s="91"/>
      <c r="AQ88" s="91"/>
      <c r="AR88" s="91"/>
      <c r="AS88" s="91"/>
      <c r="AT88" s="82"/>
      <c r="AU88" s="82"/>
      <c r="AV88" s="82"/>
      <c r="AW88" s="82"/>
      <c r="AX88" s="91"/>
      <c r="AY88" s="91"/>
      <c r="AZ88" s="91"/>
      <c r="BA88" s="91"/>
      <c r="BB88" s="82"/>
      <c r="BC88" s="82"/>
      <c r="BD88" s="82"/>
      <c r="BE88" s="82"/>
      <c r="BF88" s="91"/>
      <c r="BG88" s="91"/>
      <c r="BH88" s="91"/>
      <c r="BI88" s="91"/>
      <c r="BJ88" s="82"/>
      <c r="BK88" s="82"/>
      <c r="BL88" s="82"/>
      <c r="BM88" s="82"/>
      <c r="BN88" s="91"/>
      <c r="BO88" s="91"/>
      <c r="BP88" s="91"/>
      <c r="BQ88" s="91"/>
      <c r="BR88" s="82"/>
      <c r="BS88" s="82"/>
      <c r="BT88" s="82"/>
      <c r="BU88" s="82"/>
      <c r="BV88" s="91"/>
      <c r="BW88" s="91"/>
      <c r="BX88" s="91"/>
      <c r="BY88" s="91"/>
      <c r="BZ88" s="82"/>
      <c r="CA88" s="82"/>
      <c r="CB88" s="82"/>
      <c r="CC88" s="82"/>
      <c r="CD88" s="91"/>
      <c r="CE88" s="91"/>
      <c r="CF88" s="91"/>
      <c r="CG88" s="91"/>
      <c r="CH88" s="82"/>
      <c r="CI88" s="82"/>
      <c r="CJ88" s="82"/>
      <c r="CK88" s="82"/>
      <c r="CL88" s="91"/>
      <c r="CM88" s="91"/>
      <c r="CN88" s="91"/>
      <c r="CO88" s="91"/>
      <c r="CP88" s="82"/>
      <c r="CQ88" s="82"/>
      <c r="CR88" s="82"/>
      <c r="CS88" s="82"/>
      <c r="CT88" s="91"/>
      <c r="CU88" s="91"/>
      <c r="CV88" s="91"/>
      <c r="CW88" s="91"/>
      <c r="CX88" s="82"/>
      <c r="CY88" s="82"/>
      <c r="CZ88" s="82"/>
      <c r="DA88" s="82"/>
      <c r="DB88" s="91">
        <v>99481.188181818186</v>
      </c>
      <c r="DC88" s="82">
        <v>198962.37636363637</v>
      </c>
      <c r="DD88" s="91"/>
      <c r="DE88" s="101"/>
    </row>
    <row r="89" spans="1:109" x14ac:dyDescent="0.2">
      <c r="A89" s="14">
        <v>81</v>
      </c>
      <c r="B89" s="28" t="s">
        <v>858</v>
      </c>
      <c r="C89" s="14" t="s">
        <v>710</v>
      </c>
      <c r="D89" s="22"/>
      <c r="E89" s="24"/>
      <c r="F89" s="82" t="s">
        <v>950</v>
      </c>
      <c r="G89" s="82" t="s">
        <v>662</v>
      </c>
      <c r="H89" s="82">
        <v>0.5</v>
      </c>
      <c r="I89" s="82">
        <v>46814.676818181819</v>
      </c>
      <c r="J89" s="91" t="s">
        <v>941</v>
      </c>
      <c r="K89" s="91" t="s">
        <v>657</v>
      </c>
      <c r="L89" s="91">
        <v>0.88125000000000009</v>
      </c>
      <c r="M89" s="91">
        <v>82510.867892045469</v>
      </c>
      <c r="N89" s="82" t="s">
        <v>946</v>
      </c>
      <c r="O89" s="82" t="s">
        <v>662</v>
      </c>
      <c r="P89" s="82">
        <v>0.27125000000000021</v>
      </c>
      <c r="Q89" s="82">
        <v>25396.962173863656</v>
      </c>
      <c r="R89" s="91"/>
      <c r="S89" s="91"/>
      <c r="T89" s="91"/>
      <c r="U89" s="91"/>
      <c r="V89" s="82"/>
      <c r="W89" s="82"/>
      <c r="X89" s="82"/>
      <c r="Y89" s="82"/>
      <c r="Z89" s="91"/>
      <c r="AA89" s="91"/>
      <c r="AB89" s="91"/>
      <c r="AC89" s="91"/>
      <c r="AD89" s="82"/>
      <c r="AE89" s="82"/>
      <c r="AF89" s="82"/>
      <c r="AG89" s="82"/>
      <c r="AH89" s="91"/>
      <c r="AI89" s="91"/>
      <c r="AJ89" s="91"/>
      <c r="AK89" s="91"/>
      <c r="AL89" s="82"/>
      <c r="AM89" s="82"/>
      <c r="AN89" s="82"/>
      <c r="AO89" s="82"/>
      <c r="AP89" s="91"/>
      <c r="AQ89" s="91"/>
      <c r="AR89" s="91"/>
      <c r="AS89" s="91"/>
      <c r="AT89" s="82"/>
      <c r="AU89" s="82"/>
      <c r="AV89" s="82"/>
      <c r="AW89" s="82"/>
      <c r="AX89" s="91"/>
      <c r="AY89" s="91"/>
      <c r="AZ89" s="91"/>
      <c r="BA89" s="91"/>
      <c r="BB89" s="82"/>
      <c r="BC89" s="82"/>
      <c r="BD89" s="82"/>
      <c r="BE89" s="82"/>
      <c r="BF89" s="91"/>
      <c r="BG89" s="91"/>
      <c r="BH89" s="91"/>
      <c r="BI89" s="91"/>
      <c r="BJ89" s="82"/>
      <c r="BK89" s="82"/>
      <c r="BL89" s="82"/>
      <c r="BM89" s="82"/>
      <c r="BN89" s="91"/>
      <c r="BO89" s="91"/>
      <c r="BP89" s="91"/>
      <c r="BQ89" s="91"/>
      <c r="BR89" s="82"/>
      <c r="BS89" s="82"/>
      <c r="BT89" s="82"/>
      <c r="BU89" s="82"/>
      <c r="BV89" s="91"/>
      <c r="BW89" s="91"/>
      <c r="BX89" s="91"/>
      <c r="BY89" s="91"/>
      <c r="BZ89" s="82"/>
      <c r="CA89" s="82"/>
      <c r="CB89" s="82"/>
      <c r="CC89" s="82"/>
      <c r="CD89" s="91"/>
      <c r="CE89" s="91"/>
      <c r="CF89" s="91"/>
      <c r="CG89" s="91"/>
      <c r="CH89" s="82"/>
      <c r="CI89" s="82"/>
      <c r="CJ89" s="82"/>
      <c r="CK89" s="82"/>
      <c r="CL89" s="91"/>
      <c r="CM89" s="91"/>
      <c r="CN89" s="91"/>
      <c r="CO89" s="91"/>
      <c r="CP89" s="82"/>
      <c r="CQ89" s="82"/>
      <c r="CR89" s="82"/>
      <c r="CS89" s="82"/>
      <c r="CT89" s="91"/>
      <c r="CU89" s="91"/>
      <c r="CV89" s="91"/>
      <c r="CW89" s="91"/>
      <c r="CX89" s="82"/>
      <c r="CY89" s="82"/>
      <c r="CZ89" s="82"/>
      <c r="DA89" s="82"/>
      <c r="DB89" s="91">
        <v>93629.353636363638</v>
      </c>
      <c r="DC89" s="82">
        <v>154722.50688409095</v>
      </c>
      <c r="DD89" s="91"/>
      <c r="DE89" s="101"/>
    </row>
    <row r="90" spans="1:109" x14ac:dyDescent="0.2">
      <c r="A90" s="14">
        <v>82</v>
      </c>
      <c r="B90" s="28" t="s">
        <v>359</v>
      </c>
      <c r="C90" s="14" t="s">
        <v>711</v>
      </c>
      <c r="D90" s="22"/>
      <c r="E90" s="24"/>
      <c r="F90" s="82"/>
      <c r="G90" s="82"/>
      <c r="H90" s="82"/>
      <c r="I90" s="82"/>
      <c r="J90" s="91"/>
      <c r="K90" s="91"/>
      <c r="L90" s="91"/>
      <c r="M90" s="91"/>
      <c r="N90" s="82"/>
      <c r="O90" s="82"/>
      <c r="P90" s="82"/>
      <c r="Q90" s="82"/>
      <c r="R90" s="91"/>
      <c r="S90" s="91"/>
      <c r="T90" s="91"/>
      <c r="U90" s="91"/>
      <c r="V90" s="82"/>
      <c r="W90" s="82"/>
      <c r="X90" s="82"/>
      <c r="Y90" s="82"/>
      <c r="Z90" s="91"/>
      <c r="AA90" s="91"/>
      <c r="AB90" s="91"/>
      <c r="AC90" s="91"/>
      <c r="AD90" s="82"/>
      <c r="AE90" s="82"/>
      <c r="AF90" s="82"/>
      <c r="AG90" s="82"/>
      <c r="AH90" s="91"/>
      <c r="AI90" s="91"/>
      <c r="AJ90" s="91"/>
      <c r="AK90" s="91"/>
      <c r="AL90" s="82"/>
      <c r="AM90" s="82"/>
      <c r="AN90" s="82"/>
      <c r="AO90" s="82"/>
      <c r="AP90" s="91"/>
      <c r="AQ90" s="91"/>
      <c r="AR90" s="91"/>
      <c r="AS90" s="91"/>
      <c r="AT90" s="82"/>
      <c r="AU90" s="82"/>
      <c r="AV90" s="82"/>
      <c r="AW90" s="82"/>
      <c r="AX90" s="91"/>
      <c r="AY90" s="91"/>
      <c r="AZ90" s="91"/>
      <c r="BA90" s="91"/>
      <c r="BB90" s="82"/>
      <c r="BC90" s="82"/>
      <c r="BD90" s="82"/>
      <c r="BE90" s="82"/>
      <c r="BF90" s="91"/>
      <c r="BG90" s="91"/>
      <c r="BH90" s="91"/>
      <c r="BI90" s="91"/>
      <c r="BJ90" s="82"/>
      <c r="BK90" s="82"/>
      <c r="BL90" s="82"/>
      <c r="BM90" s="82"/>
      <c r="BN90" s="91"/>
      <c r="BO90" s="91"/>
      <c r="BP90" s="91"/>
      <c r="BQ90" s="91"/>
      <c r="BR90" s="82"/>
      <c r="BS90" s="82"/>
      <c r="BT90" s="82"/>
      <c r="BU90" s="82"/>
      <c r="BV90" s="91"/>
      <c r="BW90" s="91"/>
      <c r="BX90" s="91"/>
      <c r="BY90" s="91"/>
      <c r="BZ90" s="82"/>
      <c r="CA90" s="82"/>
      <c r="CB90" s="82"/>
      <c r="CC90" s="82"/>
      <c r="CD90" s="91"/>
      <c r="CE90" s="91"/>
      <c r="CF90" s="91"/>
      <c r="CG90" s="91"/>
      <c r="CH90" s="82"/>
      <c r="CI90" s="82"/>
      <c r="CJ90" s="82"/>
      <c r="CK90" s="82"/>
      <c r="CL90" s="91"/>
      <c r="CM90" s="91"/>
      <c r="CN90" s="91"/>
      <c r="CO90" s="91"/>
      <c r="CP90" s="82"/>
      <c r="CQ90" s="82"/>
      <c r="CR90" s="82"/>
      <c r="CS90" s="82"/>
      <c r="CT90" s="91"/>
      <c r="CU90" s="91"/>
      <c r="CV90" s="91"/>
      <c r="CW90" s="91"/>
      <c r="CX90" s="82"/>
      <c r="CY90" s="82"/>
      <c r="CZ90" s="82"/>
      <c r="DA90" s="82"/>
      <c r="DB90" s="91"/>
      <c r="DC90" s="82"/>
      <c r="DD90" s="91"/>
      <c r="DE90" s="101"/>
    </row>
    <row r="91" spans="1:109" x14ac:dyDescent="0.2">
      <c r="A91" s="14">
        <v>83</v>
      </c>
      <c r="B91" s="28" t="s">
        <v>360</v>
      </c>
      <c r="C91" s="14" t="s">
        <v>712</v>
      </c>
      <c r="D91" s="22"/>
      <c r="E91" s="24"/>
      <c r="F91" s="82"/>
      <c r="G91" s="82"/>
      <c r="H91" s="82"/>
      <c r="I91" s="82"/>
      <c r="J91" s="91"/>
      <c r="K91" s="91"/>
      <c r="L91" s="91"/>
      <c r="M91" s="91"/>
      <c r="N91" s="82"/>
      <c r="O91" s="82"/>
      <c r="P91" s="82"/>
      <c r="Q91" s="82"/>
      <c r="R91" s="91"/>
      <c r="S91" s="91"/>
      <c r="T91" s="91"/>
      <c r="U91" s="91"/>
      <c r="V91" s="82"/>
      <c r="W91" s="82"/>
      <c r="X91" s="82"/>
      <c r="Y91" s="82"/>
      <c r="Z91" s="91"/>
      <c r="AA91" s="91"/>
      <c r="AB91" s="91"/>
      <c r="AC91" s="91"/>
      <c r="AD91" s="82"/>
      <c r="AE91" s="82"/>
      <c r="AF91" s="82"/>
      <c r="AG91" s="82"/>
      <c r="AH91" s="91"/>
      <c r="AI91" s="91"/>
      <c r="AJ91" s="91"/>
      <c r="AK91" s="91"/>
      <c r="AL91" s="82"/>
      <c r="AM91" s="82"/>
      <c r="AN91" s="82"/>
      <c r="AO91" s="82"/>
      <c r="AP91" s="91"/>
      <c r="AQ91" s="91"/>
      <c r="AR91" s="91"/>
      <c r="AS91" s="91"/>
      <c r="AT91" s="82"/>
      <c r="AU91" s="82"/>
      <c r="AV91" s="82"/>
      <c r="AW91" s="82"/>
      <c r="AX91" s="91"/>
      <c r="AY91" s="91"/>
      <c r="AZ91" s="91"/>
      <c r="BA91" s="91"/>
      <c r="BB91" s="82"/>
      <c r="BC91" s="82"/>
      <c r="BD91" s="82"/>
      <c r="BE91" s="82"/>
      <c r="BF91" s="91"/>
      <c r="BG91" s="91"/>
      <c r="BH91" s="91"/>
      <c r="BI91" s="91"/>
      <c r="BJ91" s="82"/>
      <c r="BK91" s="82"/>
      <c r="BL91" s="82"/>
      <c r="BM91" s="82"/>
      <c r="BN91" s="91"/>
      <c r="BO91" s="91"/>
      <c r="BP91" s="91"/>
      <c r="BQ91" s="91"/>
      <c r="BR91" s="82"/>
      <c r="BS91" s="82"/>
      <c r="BT91" s="82"/>
      <c r="BU91" s="82"/>
      <c r="BV91" s="91"/>
      <c r="BW91" s="91"/>
      <c r="BX91" s="91"/>
      <c r="BY91" s="91"/>
      <c r="BZ91" s="82"/>
      <c r="CA91" s="82"/>
      <c r="CB91" s="82"/>
      <c r="CC91" s="82"/>
      <c r="CD91" s="91"/>
      <c r="CE91" s="91"/>
      <c r="CF91" s="91"/>
      <c r="CG91" s="91"/>
      <c r="CH91" s="82"/>
      <c r="CI91" s="82"/>
      <c r="CJ91" s="82"/>
      <c r="CK91" s="82"/>
      <c r="CL91" s="91"/>
      <c r="CM91" s="91"/>
      <c r="CN91" s="91"/>
      <c r="CO91" s="91"/>
      <c r="CP91" s="82"/>
      <c r="CQ91" s="82"/>
      <c r="CR91" s="82"/>
      <c r="CS91" s="82"/>
      <c r="CT91" s="91"/>
      <c r="CU91" s="91"/>
      <c r="CV91" s="91"/>
      <c r="CW91" s="91"/>
      <c r="CX91" s="82"/>
      <c r="CY91" s="82"/>
      <c r="CZ91" s="82"/>
      <c r="DA91" s="82"/>
      <c r="DB91" s="91"/>
      <c r="DC91" s="82"/>
      <c r="DD91" s="91"/>
      <c r="DE91" s="101"/>
    </row>
    <row r="92" spans="1:109" x14ac:dyDescent="0.2">
      <c r="A92" s="14">
        <v>84</v>
      </c>
      <c r="B92" s="28" t="s">
        <v>361</v>
      </c>
      <c r="C92" s="14" t="s">
        <v>713</v>
      </c>
      <c r="D92" s="22"/>
      <c r="E92" s="24"/>
      <c r="F92" s="82" t="s">
        <v>938</v>
      </c>
      <c r="G92" s="82" t="s">
        <v>657</v>
      </c>
      <c r="H92" s="82">
        <v>1</v>
      </c>
      <c r="I92" s="82">
        <v>93629.353636363638</v>
      </c>
      <c r="J92" s="91" t="s">
        <v>939</v>
      </c>
      <c r="K92" s="91" t="s">
        <v>657</v>
      </c>
      <c r="L92" s="91">
        <v>1</v>
      </c>
      <c r="M92" s="91">
        <v>93629.353636363638</v>
      </c>
      <c r="N92" s="82"/>
      <c r="O92" s="82"/>
      <c r="P92" s="82"/>
      <c r="Q92" s="82"/>
      <c r="R92" s="91"/>
      <c r="S92" s="91"/>
      <c r="T92" s="91"/>
      <c r="U92" s="91"/>
      <c r="V92" s="82"/>
      <c r="W92" s="82"/>
      <c r="X92" s="82"/>
      <c r="Y92" s="82"/>
      <c r="Z92" s="91"/>
      <c r="AA92" s="91"/>
      <c r="AB92" s="91"/>
      <c r="AC92" s="91"/>
      <c r="AD92" s="82"/>
      <c r="AE92" s="82"/>
      <c r="AF92" s="82"/>
      <c r="AG92" s="82"/>
      <c r="AH92" s="91"/>
      <c r="AI92" s="91"/>
      <c r="AJ92" s="91"/>
      <c r="AK92" s="91"/>
      <c r="AL92" s="82"/>
      <c r="AM92" s="82"/>
      <c r="AN92" s="82"/>
      <c r="AO92" s="82"/>
      <c r="AP92" s="91"/>
      <c r="AQ92" s="91"/>
      <c r="AR92" s="91"/>
      <c r="AS92" s="91"/>
      <c r="AT92" s="82"/>
      <c r="AU92" s="82"/>
      <c r="AV92" s="82"/>
      <c r="AW92" s="82"/>
      <c r="AX92" s="91"/>
      <c r="AY92" s="91"/>
      <c r="AZ92" s="91"/>
      <c r="BA92" s="91"/>
      <c r="BB92" s="82"/>
      <c r="BC92" s="82"/>
      <c r="BD92" s="82"/>
      <c r="BE92" s="82"/>
      <c r="BF92" s="91"/>
      <c r="BG92" s="91"/>
      <c r="BH92" s="91"/>
      <c r="BI92" s="91"/>
      <c r="BJ92" s="82"/>
      <c r="BK92" s="82"/>
      <c r="BL92" s="82"/>
      <c r="BM92" s="82"/>
      <c r="BN92" s="91"/>
      <c r="BO92" s="91"/>
      <c r="BP92" s="91"/>
      <c r="BQ92" s="91"/>
      <c r="BR92" s="82"/>
      <c r="BS92" s="82"/>
      <c r="BT92" s="82"/>
      <c r="BU92" s="82"/>
      <c r="BV92" s="91"/>
      <c r="BW92" s="91"/>
      <c r="BX92" s="91"/>
      <c r="BY92" s="91"/>
      <c r="BZ92" s="82"/>
      <c r="CA92" s="82"/>
      <c r="CB92" s="82"/>
      <c r="CC92" s="82"/>
      <c r="CD92" s="91"/>
      <c r="CE92" s="91"/>
      <c r="CF92" s="91"/>
      <c r="CG92" s="91"/>
      <c r="CH92" s="82"/>
      <c r="CI92" s="82"/>
      <c r="CJ92" s="82"/>
      <c r="CK92" s="82"/>
      <c r="CL92" s="91"/>
      <c r="CM92" s="91"/>
      <c r="CN92" s="91"/>
      <c r="CO92" s="91"/>
      <c r="CP92" s="82"/>
      <c r="CQ92" s="82"/>
      <c r="CR92" s="82"/>
      <c r="CS92" s="82"/>
      <c r="CT92" s="91"/>
      <c r="CU92" s="91"/>
      <c r="CV92" s="91"/>
      <c r="CW92" s="91"/>
      <c r="CX92" s="82"/>
      <c r="CY92" s="82"/>
      <c r="CZ92" s="82"/>
      <c r="DA92" s="82"/>
      <c r="DB92" s="91">
        <v>93629.353636363638</v>
      </c>
      <c r="DC92" s="82">
        <v>187258.70727272728</v>
      </c>
      <c r="DD92" s="91"/>
      <c r="DE92" s="101"/>
    </row>
    <row r="93" spans="1:109" x14ac:dyDescent="0.2">
      <c r="A93" s="14">
        <v>85</v>
      </c>
      <c r="B93" s="28" t="s">
        <v>369</v>
      </c>
      <c r="C93" s="14" t="s">
        <v>714</v>
      </c>
      <c r="D93" s="22"/>
      <c r="E93" s="24"/>
      <c r="F93" s="82"/>
      <c r="G93" s="82" t="s">
        <v>660</v>
      </c>
      <c r="H93" s="82"/>
      <c r="I93" s="82">
        <v>483157</v>
      </c>
      <c r="J93" s="92"/>
      <c r="K93" s="91"/>
      <c r="L93" s="91"/>
      <c r="M93" s="91"/>
      <c r="N93" s="82"/>
      <c r="O93" s="82"/>
      <c r="P93" s="82"/>
      <c r="Q93" s="82"/>
      <c r="R93" s="91"/>
      <c r="S93" s="91"/>
      <c r="T93" s="91"/>
      <c r="U93" s="91"/>
      <c r="V93" s="82"/>
      <c r="W93" s="82"/>
      <c r="X93" s="82"/>
      <c r="Y93" s="82"/>
      <c r="Z93" s="91"/>
      <c r="AA93" s="91"/>
      <c r="AB93" s="91"/>
      <c r="AC93" s="91"/>
      <c r="AD93" s="82"/>
      <c r="AE93" s="82"/>
      <c r="AF93" s="82"/>
      <c r="AG93" s="82"/>
      <c r="AH93" s="91"/>
      <c r="AI93" s="91"/>
      <c r="AJ93" s="91"/>
      <c r="AK93" s="91"/>
      <c r="AL93" s="82"/>
      <c r="AM93" s="82"/>
      <c r="AN93" s="82"/>
      <c r="AO93" s="82"/>
      <c r="AP93" s="91"/>
      <c r="AQ93" s="91"/>
      <c r="AR93" s="91"/>
      <c r="AS93" s="91"/>
      <c r="AT93" s="82"/>
      <c r="AU93" s="82"/>
      <c r="AV93" s="82"/>
      <c r="AW93" s="82"/>
      <c r="AX93" s="91"/>
      <c r="AY93" s="91"/>
      <c r="AZ93" s="91"/>
      <c r="BA93" s="91"/>
      <c r="BB93" s="82"/>
      <c r="BC93" s="82"/>
      <c r="BD93" s="82"/>
      <c r="BE93" s="82"/>
      <c r="BF93" s="91"/>
      <c r="BG93" s="91"/>
      <c r="BH93" s="91"/>
      <c r="BI93" s="91"/>
      <c r="BJ93" s="82"/>
      <c r="BK93" s="82"/>
      <c r="BL93" s="82"/>
      <c r="BM93" s="82"/>
      <c r="BN93" s="91"/>
      <c r="BO93" s="91"/>
      <c r="BP93" s="91"/>
      <c r="BQ93" s="91"/>
      <c r="BR93" s="82"/>
      <c r="BS93" s="82"/>
      <c r="BT93" s="82"/>
      <c r="BU93" s="82"/>
      <c r="BV93" s="91"/>
      <c r="BW93" s="91"/>
      <c r="BX93" s="91"/>
      <c r="BY93" s="91"/>
      <c r="BZ93" s="82"/>
      <c r="CA93" s="82"/>
      <c r="CB93" s="82"/>
      <c r="CC93" s="82"/>
      <c r="CD93" s="91"/>
      <c r="CE93" s="91"/>
      <c r="CF93" s="91"/>
      <c r="CG93" s="91"/>
      <c r="CH93" s="82"/>
      <c r="CI93" s="82"/>
      <c r="CJ93" s="82"/>
      <c r="CK93" s="82"/>
      <c r="CL93" s="91"/>
      <c r="CM93" s="91"/>
      <c r="CN93" s="91"/>
      <c r="CO93" s="91"/>
      <c r="CP93" s="82"/>
      <c r="CQ93" s="82"/>
      <c r="CR93" s="82"/>
      <c r="CS93" s="82"/>
      <c r="CT93" s="91"/>
      <c r="CU93" s="91"/>
      <c r="CV93" s="91"/>
      <c r="CW93" s="91"/>
      <c r="CX93" s="82"/>
      <c r="CY93" s="82"/>
      <c r="CZ93" s="82"/>
      <c r="DA93" s="82"/>
      <c r="DB93" s="91"/>
      <c r="DC93" s="82">
        <v>483157</v>
      </c>
      <c r="DD93" s="91"/>
      <c r="DE93" s="101"/>
    </row>
    <row r="94" spans="1:109" x14ac:dyDescent="0.2">
      <c r="A94" s="14">
        <v>86</v>
      </c>
      <c r="B94" s="28" t="s">
        <v>308</v>
      </c>
      <c r="C94" s="14" t="s">
        <v>715</v>
      </c>
      <c r="D94" s="22"/>
      <c r="E94" s="24"/>
      <c r="F94" s="82" t="s">
        <v>938</v>
      </c>
      <c r="G94" s="82" t="s">
        <v>657</v>
      </c>
      <c r="H94" s="82">
        <v>1</v>
      </c>
      <c r="I94" s="82">
        <v>76073.849545454548</v>
      </c>
      <c r="J94" s="91"/>
      <c r="K94" s="91"/>
      <c r="L94" s="91"/>
      <c r="M94" s="91"/>
      <c r="N94" s="82"/>
      <c r="O94" s="82"/>
      <c r="P94" s="82"/>
      <c r="Q94" s="82"/>
      <c r="R94" s="91"/>
      <c r="S94" s="91"/>
      <c r="T94" s="91"/>
      <c r="U94" s="91"/>
      <c r="V94" s="82"/>
      <c r="W94" s="82"/>
      <c r="X94" s="82"/>
      <c r="Y94" s="82"/>
      <c r="Z94" s="91"/>
      <c r="AA94" s="91"/>
      <c r="AB94" s="91"/>
      <c r="AC94" s="91"/>
      <c r="AD94" s="82"/>
      <c r="AE94" s="82"/>
      <c r="AF94" s="82"/>
      <c r="AG94" s="82"/>
      <c r="AH94" s="91"/>
      <c r="AI94" s="91"/>
      <c r="AJ94" s="91"/>
      <c r="AK94" s="91"/>
      <c r="AL94" s="82"/>
      <c r="AM94" s="82"/>
      <c r="AN94" s="82"/>
      <c r="AO94" s="82"/>
      <c r="AP94" s="91"/>
      <c r="AQ94" s="91"/>
      <c r="AR94" s="91"/>
      <c r="AS94" s="91"/>
      <c r="AT94" s="82"/>
      <c r="AU94" s="82"/>
      <c r="AV94" s="82"/>
      <c r="AW94" s="82"/>
      <c r="AX94" s="91"/>
      <c r="AY94" s="91"/>
      <c r="AZ94" s="91"/>
      <c r="BA94" s="91"/>
      <c r="BB94" s="82"/>
      <c r="BC94" s="82"/>
      <c r="BD94" s="82"/>
      <c r="BE94" s="82"/>
      <c r="BF94" s="91"/>
      <c r="BG94" s="91"/>
      <c r="BH94" s="91"/>
      <c r="BI94" s="91"/>
      <c r="BJ94" s="82"/>
      <c r="BK94" s="82"/>
      <c r="BL94" s="82"/>
      <c r="BM94" s="82"/>
      <c r="BN94" s="91"/>
      <c r="BO94" s="91"/>
      <c r="BP94" s="91"/>
      <c r="BQ94" s="91"/>
      <c r="BR94" s="82"/>
      <c r="BS94" s="82"/>
      <c r="BT94" s="82"/>
      <c r="BU94" s="82"/>
      <c r="BV94" s="91"/>
      <c r="BW94" s="91"/>
      <c r="BX94" s="91"/>
      <c r="BY94" s="91"/>
      <c r="BZ94" s="82"/>
      <c r="CA94" s="82"/>
      <c r="CB94" s="82"/>
      <c r="CC94" s="82"/>
      <c r="CD94" s="91"/>
      <c r="CE94" s="91"/>
      <c r="CF94" s="91"/>
      <c r="CG94" s="91"/>
      <c r="CH94" s="82"/>
      <c r="CI94" s="82"/>
      <c r="CJ94" s="82"/>
      <c r="CK94" s="82"/>
      <c r="CL94" s="91"/>
      <c r="CM94" s="91"/>
      <c r="CN94" s="91"/>
      <c r="CO94" s="91"/>
      <c r="CP94" s="82"/>
      <c r="CQ94" s="82"/>
      <c r="CR94" s="82"/>
      <c r="CS94" s="82"/>
      <c r="CT94" s="91"/>
      <c r="CU94" s="91"/>
      <c r="CV94" s="91"/>
      <c r="CW94" s="91"/>
      <c r="CX94" s="82"/>
      <c r="CY94" s="82"/>
      <c r="CZ94" s="82"/>
      <c r="DA94" s="82"/>
      <c r="DB94" s="91">
        <v>76073.849545454548</v>
      </c>
      <c r="DC94" s="82">
        <v>76073.849545454548</v>
      </c>
      <c r="DD94" s="91"/>
      <c r="DE94" s="101"/>
    </row>
    <row r="95" spans="1:109" x14ac:dyDescent="0.2">
      <c r="A95" s="14">
        <v>87</v>
      </c>
      <c r="B95" s="28" t="s">
        <v>65</v>
      </c>
      <c r="C95" s="14" t="s">
        <v>716</v>
      </c>
      <c r="D95" s="22"/>
      <c r="E95" s="24"/>
      <c r="F95" s="82" t="s">
        <v>938</v>
      </c>
      <c r="G95" s="82" t="s">
        <v>657</v>
      </c>
      <c r="H95" s="82">
        <v>1.1200000000000001</v>
      </c>
      <c r="I95" s="82">
        <v>85202.711490909103</v>
      </c>
      <c r="J95" s="91" t="s">
        <v>939</v>
      </c>
      <c r="K95" s="91" t="s">
        <v>657</v>
      </c>
      <c r="L95" s="91">
        <v>1.17875</v>
      </c>
      <c r="M95" s="91">
        <v>89672.050151704549</v>
      </c>
      <c r="N95" s="82" t="s">
        <v>940</v>
      </c>
      <c r="O95" s="82" t="s">
        <v>657</v>
      </c>
      <c r="P95" s="82">
        <v>1.1812499999999999</v>
      </c>
      <c r="Q95" s="82">
        <v>89862.234775568184</v>
      </c>
      <c r="R95" s="91" t="s">
        <v>941</v>
      </c>
      <c r="S95" s="91" t="s">
        <v>657</v>
      </c>
      <c r="T95" s="91">
        <v>1.1875</v>
      </c>
      <c r="U95" s="91">
        <v>90337.696335227272</v>
      </c>
      <c r="V95" s="82"/>
      <c r="W95" s="82"/>
      <c r="X95" s="82"/>
      <c r="Y95" s="82"/>
      <c r="Z95" s="91"/>
      <c r="AA95" s="91"/>
      <c r="AB95" s="91"/>
      <c r="AC95" s="91"/>
      <c r="AD95" s="82"/>
      <c r="AE95" s="82"/>
      <c r="AF95" s="82"/>
      <c r="AG95" s="82"/>
      <c r="AH95" s="91"/>
      <c r="AI95" s="91"/>
      <c r="AJ95" s="91"/>
      <c r="AK95" s="91"/>
      <c r="AL95" s="82"/>
      <c r="AM95" s="82"/>
      <c r="AN95" s="82"/>
      <c r="AO95" s="82"/>
      <c r="AP95" s="91"/>
      <c r="AQ95" s="91"/>
      <c r="AR95" s="91"/>
      <c r="AS95" s="91"/>
      <c r="AT95" s="82"/>
      <c r="AU95" s="82"/>
      <c r="AV95" s="82"/>
      <c r="AW95" s="82"/>
      <c r="AX95" s="91"/>
      <c r="AY95" s="91"/>
      <c r="AZ95" s="91"/>
      <c r="BA95" s="91"/>
      <c r="BB95" s="82"/>
      <c r="BC95" s="82"/>
      <c r="BD95" s="82"/>
      <c r="BE95" s="82"/>
      <c r="BF95" s="91"/>
      <c r="BG95" s="91"/>
      <c r="BH95" s="91"/>
      <c r="BI95" s="91"/>
      <c r="BJ95" s="82"/>
      <c r="BK95" s="82"/>
      <c r="BL95" s="82"/>
      <c r="BM95" s="82"/>
      <c r="BN95" s="91"/>
      <c r="BO95" s="91"/>
      <c r="BP95" s="91"/>
      <c r="BQ95" s="91"/>
      <c r="BR95" s="82"/>
      <c r="BS95" s="82"/>
      <c r="BT95" s="82"/>
      <c r="BU95" s="82"/>
      <c r="BV95" s="91"/>
      <c r="BW95" s="91"/>
      <c r="BX95" s="91"/>
      <c r="BY95" s="91"/>
      <c r="BZ95" s="82"/>
      <c r="CA95" s="82"/>
      <c r="CB95" s="82"/>
      <c r="CC95" s="82"/>
      <c r="CD95" s="91"/>
      <c r="CE95" s="91"/>
      <c r="CF95" s="91"/>
      <c r="CG95" s="91"/>
      <c r="CH95" s="82"/>
      <c r="CI95" s="82"/>
      <c r="CJ95" s="82"/>
      <c r="CK95" s="82"/>
      <c r="CL95" s="91"/>
      <c r="CM95" s="91"/>
      <c r="CN95" s="91"/>
      <c r="CO95" s="91"/>
      <c r="CP95" s="82"/>
      <c r="CQ95" s="82"/>
      <c r="CR95" s="82"/>
      <c r="CS95" s="82"/>
      <c r="CT95" s="91"/>
      <c r="CU95" s="91"/>
      <c r="CV95" s="91"/>
      <c r="CW95" s="91"/>
      <c r="CX95" s="82"/>
      <c r="CY95" s="82"/>
      <c r="CZ95" s="82"/>
      <c r="DA95" s="82"/>
      <c r="DB95" s="91">
        <v>76073.849545454548</v>
      </c>
      <c r="DC95" s="82">
        <v>355074.69275340909</v>
      </c>
      <c r="DD95" s="91"/>
      <c r="DE95" s="101"/>
    </row>
    <row r="96" spans="1:109" x14ac:dyDescent="0.2">
      <c r="A96" s="14">
        <v>88</v>
      </c>
      <c r="B96" s="28" t="s">
        <v>69</v>
      </c>
      <c r="C96" s="14" t="s">
        <v>717</v>
      </c>
      <c r="D96" s="22"/>
      <c r="E96" s="24"/>
      <c r="F96" s="82" t="s">
        <v>942</v>
      </c>
      <c r="G96" s="82" t="s">
        <v>657</v>
      </c>
      <c r="H96" s="82">
        <v>1</v>
      </c>
      <c r="I96" s="82">
        <v>76073.849545454548</v>
      </c>
      <c r="J96" s="91" t="s">
        <v>943</v>
      </c>
      <c r="K96" s="91" t="s">
        <v>657</v>
      </c>
      <c r="L96" s="91">
        <v>1</v>
      </c>
      <c r="M96" s="91">
        <v>76073.849545454548</v>
      </c>
      <c r="N96" s="82" t="s">
        <v>944</v>
      </c>
      <c r="O96" s="82" t="s">
        <v>657</v>
      </c>
      <c r="P96" s="82">
        <v>1</v>
      </c>
      <c r="Q96" s="82">
        <v>76073.849545454548</v>
      </c>
      <c r="R96" s="91"/>
      <c r="S96" s="91"/>
      <c r="T96" s="91"/>
      <c r="U96" s="91"/>
      <c r="V96" s="82"/>
      <c r="W96" s="82"/>
      <c r="X96" s="82"/>
      <c r="Y96" s="82"/>
      <c r="Z96" s="91"/>
      <c r="AA96" s="91"/>
      <c r="AB96" s="91"/>
      <c r="AC96" s="91"/>
      <c r="AD96" s="82"/>
      <c r="AE96" s="82"/>
      <c r="AF96" s="82"/>
      <c r="AG96" s="82"/>
      <c r="AH96" s="91"/>
      <c r="AI96" s="91"/>
      <c r="AJ96" s="91"/>
      <c r="AK96" s="91"/>
      <c r="AL96" s="82"/>
      <c r="AM96" s="82"/>
      <c r="AN96" s="82"/>
      <c r="AO96" s="82"/>
      <c r="AP96" s="91"/>
      <c r="AQ96" s="91"/>
      <c r="AR96" s="91"/>
      <c r="AS96" s="91"/>
      <c r="AT96" s="82"/>
      <c r="AU96" s="82"/>
      <c r="AV96" s="82"/>
      <c r="AW96" s="82"/>
      <c r="AX96" s="91"/>
      <c r="AY96" s="91"/>
      <c r="AZ96" s="91"/>
      <c r="BA96" s="91"/>
      <c r="BB96" s="82"/>
      <c r="BC96" s="82"/>
      <c r="BD96" s="82"/>
      <c r="BE96" s="82"/>
      <c r="BF96" s="91"/>
      <c r="BG96" s="91"/>
      <c r="BH96" s="91"/>
      <c r="BI96" s="91"/>
      <c r="BJ96" s="82"/>
      <c r="BK96" s="82"/>
      <c r="BL96" s="82"/>
      <c r="BM96" s="82"/>
      <c r="BN96" s="91"/>
      <c r="BO96" s="91"/>
      <c r="BP96" s="91"/>
      <c r="BQ96" s="91"/>
      <c r="BR96" s="82"/>
      <c r="BS96" s="82"/>
      <c r="BT96" s="82"/>
      <c r="BU96" s="82"/>
      <c r="BV96" s="91"/>
      <c r="BW96" s="91"/>
      <c r="BX96" s="91"/>
      <c r="BY96" s="91"/>
      <c r="BZ96" s="82"/>
      <c r="CA96" s="82"/>
      <c r="CB96" s="82"/>
      <c r="CC96" s="82"/>
      <c r="CD96" s="91"/>
      <c r="CE96" s="91"/>
      <c r="CF96" s="91"/>
      <c r="CG96" s="91"/>
      <c r="CH96" s="82"/>
      <c r="CI96" s="82"/>
      <c r="CJ96" s="82"/>
      <c r="CK96" s="82"/>
      <c r="CL96" s="91"/>
      <c r="CM96" s="91"/>
      <c r="CN96" s="91"/>
      <c r="CO96" s="91"/>
      <c r="CP96" s="82"/>
      <c r="CQ96" s="82"/>
      <c r="CR96" s="82"/>
      <c r="CS96" s="82"/>
      <c r="CT96" s="91"/>
      <c r="CU96" s="91"/>
      <c r="CV96" s="91"/>
      <c r="CW96" s="91"/>
      <c r="CX96" s="82"/>
      <c r="CY96" s="82"/>
      <c r="CZ96" s="82"/>
      <c r="DA96" s="82"/>
      <c r="DB96" s="91">
        <v>76073.849545454548</v>
      </c>
      <c r="DC96" s="82">
        <v>228221.54863636364</v>
      </c>
      <c r="DD96" s="91"/>
      <c r="DE96" s="101"/>
    </row>
    <row r="97" spans="1:109" x14ac:dyDescent="0.2">
      <c r="A97" s="14">
        <v>89</v>
      </c>
      <c r="B97" s="28" t="s">
        <v>71</v>
      </c>
      <c r="C97" s="14" t="s">
        <v>807</v>
      </c>
      <c r="D97" s="22"/>
      <c r="E97" s="24"/>
      <c r="F97" s="82"/>
      <c r="G97" s="82"/>
      <c r="H97" s="82"/>
      <c r="I97" s="82"/>
      <c r="J97" s="91"/>
      <c r="K97" s="91"/>
      <c r="L97" s="91"/>
      <c r="M97" s="91"/>
      <c r="N97" s="82"/>
      <c r="O97" s="82"/>
      <c r="P97" s="82"/>
      <c r="Q97" s="82"/>
      <c r="R97" s="91"/>
      <c r="S97" s="91"/>
      <c r="T97" s="91"/>
      <c r="U97" s="91"/>
      <c r="V97" s="82"/>
      <c r="W97" s="82"/>
      <c r="X97" s="82"/>
      <c r="Y97" s="82"/>
      <c r="Z97" s="91"/>
      <c r="AA97" s="91"/>
      <c r="AB97" s="91"/>
      <c r="AC97" s="91"/>
      <c r="AD97" s="82"/>
      <c r="AE97" s="82"/>
      <c r="AF97" s="82"/>
      <c r="AG97" s="82"/>
      <c r="AH97" s="91"/>
      <c r="AI97" s="91"/>
      <c r="AJ97" s="91"/>
      <c r="AK97" s="91"/>
      <c r="AL97" s="82"/>
      <c r="AM97" s="82"/>
      <c r="AN97" s="82"/>
      <c r="AO97" s="82"/>
      <c r="AP97" s="91"/>
      <c r="AQ97" s="91"/>
      <c r="AR97" s="91"/>
      <c r="AS97" s="91"/>
      <c r="AT97" s="82"/>
      <c r="AU97" s="82"/>
      <c r="AV97" s="82"/>
      <c r="AW97" s="82"/>
      <c r="AX97" s="91"/>
      <c r="AY97" s="91"/>
      <c r="AZ97" s="91"/>
      <c r="BA97" s="91"/>
      <c r="BB97" s="82"/>
      <c r="BC97" s="82"/>
      <c r="BD97" s="82"/>
      <c r="BE97" s="82"/>
      <c r="BF97" s="91"/>
      <c r="BG97" s="91"/>
      <c r="BH97" s="91"/>
      <c r="BI97" s="91"/>
      <c r="BJ97" s="82"/>
      <c r="BK97" s="82"/>
      <c r="BL97" s="82"/>
      <c r="BM97" s="82"/>
      <c r="BN97" s="91"/>
      <c r="BO97" s="91"/>
      <c r="BP97" s="91"/>
      <c r="BQ97" s="91"/>
      <c r="BR97" s="82"/>
      <c r="BS97" s="82"/>
      <c r="BT97" s="82"/>
      <c r="BU97" s="82"/>
      <c r="BV97" s="91"/>
      <c r="BW97" s="91"/>
      <c r="BX97" s="91"/>
      <c r="BY97" s="91"/>
      <c r="BZ97" s="82"/>
      <c r="CA97" s="82"/>
      <c r="CB97" s="82"/>
      <c r="CC97" s="82"/>
      <c r="CD97" s="91"/>
      <c r="CE97" s="91"/>
      <c r="CF97" s="91"/>
      <c r="CG97" s="91"/>
      <c r="CH97" s="82"/>
      <c r="CI97" s="82"/>
      <c r="CJ97" s="82"/>
      <c r="CK97" s="82"/>
      <c r="CL97" s="91"/>
      <c r="CM97" s="91"/>
      <c r="CN97" s="91"/>
      <c r="CO97" s="91"/>
      <c r="CP97" s="82"/>
      <c r="CQ97" s="82"/>
      <c r="CR97" s="82"/>
      <c r="CS97" s="82"/>
      <c r="CT97" s="91"/>
      <c r="CU97" s="91"/>
      <c r="CV97" s="91"/>
      <c r="CW97" s="91"/>
      <c r="CX97" s="82"/>
      <c r="CY97" s="82"/>
      <c r="CZ97" s="82"/>
      <c r="DA97" s="82"/>
      <c r="DB97" s="91"/>
      <c r="DC97" s="82"/>
      <c r="DD97" s="91"/>
      <c r="DE97" s="101"/>
    </row>
    <row r="98" spans="1:109" x14ac:dyDescent="0.2">
      <c r="A98" s="14">
        <v>90</v>
      </c>
      <c r="B98" s="28" t="s">
        <v>73</v>
      </c>
      <c r="C98" s="14" t="s">
        <v>718</v>
      </c>
      <c r="D98" s="22"/>
      <c r="E98" s="24"/>
      <c r="F98" s="82" t="s">
        <v>939</v>
      </c>
      <c r="G98" s="82" t="s">
        <v>657</v>
      </c>
      <c r="H98" s="82">
        <v>0.88250000000000006</v>
      </c>
      <c r="I98" s="82">
        <v>67135.172223863643</v>
      </c>
      <c r="J98" s="91" t="s">
        <v>941</v>
      </c>
      <c r="K98" s="91" t="s">
        <v>657</v>
      </c>
      <c r="L98" s="91">
        <v>1.2199999999999998</v>
      </c>
      <c r="M98" s="91">
        <v>92810.096445454532</v>
      </c>
      <c r="N98" s="82"/>
      <c r="O98" s="82"/>
      <c r="P98" s="82"/>
      <c r="Q98" s="82"/>
      <c r="R98" s="91"/>
      <c r="S98" s="91"/>
      <c r="T98" s="91"/>
      <c r="U98" s="91"/>
      <c r="V98" s="82"/>
      <c r="W98" s="82"/>
      <c r="X98" s="82"/>
      <c r="Y98" s="82"/>
      <c r="Z98" s="91"/>
      <c r="AA98" s="91"/>
      <c r="AB98" s="91"/>
      <c r="AC98" s="91"/>
      <c r="AD98" s="82"/>
      <c r="AE98" s="82"/>
      <c r="AF98" s="82"/>
      <c r="AG98" s="82"/>
      <c r="AH98" s="91"/>
      <c r="AI98" s="91"/>
      <c r="AJ98" s="91"/>
      <c r="AK98" s="91"/>
      <c r="AL98" s="82"/>
      <c r="AM98" s="82"/>
      <c r="AN98" s="82"/>
      <c r="AO98" s="82"/>
      <c r="AP98" s="91"/>
      <c r="AQ98" s="91"/>
      <c r="AR98" s="91"/>
      <c r="AS98" s="91"/>
      <c r="AT98" s="82"/>
      <c r="AU98" s="82"/>
      <c r="AV98" s="82"/>
      <c r="AW98" s="82"/>
      <c r="AX98" s="91"/>
      <c r="AY98" s="91"/>
      <c r="AZ98" s="91"/>
      <c r="BA98" s="91"/>
      <c r="BB98" s="82"/>
      <c r="BC98" s="82"/>
      <c r="BD98" s="82"/>
      <c r="BE98" s="82"/>
      <c r="BF98" s="91"/>
      <c r="BG98" s="91"/>
      <c r="BH98" s="91"/>
      <c r="BI98" s="91"/>
      <c r="BJ98" s="82"/>
      <c r="BK98" s="82"/>
      <c r="BL98" s="82"/>
      <c r="BM98" s="82"/>
      <c r="BN98" s="91"/>
      <c r="BO98" s="91"/>
      <c r="BP98" s="91"/>
      <c r="BQ98" s="91"/>
      <c r="BR98" s="82"/>
      <c r="BS98" s="82"/>
      <c r="BT98" s="82"/>
      <c r="BU98" s="82"/>
      <c r="BV98" s="91"/>
      <c r="BW98" s="91"/>
      <c r="BX98" s="91"/>
      <c r="BY98" s="91"/>
      <c r="BZ98" s="82"/>
      <c r="CA98" s="82"/>
      <c r="CB98" s="82"/>
      <c r="CC98" s="82"/>
      <c r="CD98" s="91"/>
      <c r="CE98" s="91"/>
      <c r="CF98" s="91"/>
      <c r="CG98" s="91"/>
      <c r="CH98" s="82"/>
      <c r="CI98" s="82"/>
      <c r="CJ98" s="82"/>
      <c r="CK98" s="82"/>
      <c r="CL98" s="91"/>
      <c r="CM98" s="91"/>
      <c r="CN98" s="91"/>
      <c r="CO98" s="91"/>
      <c r="CP98" s="82"/>
      <c r="CQ98" s="82"/>
      <c r="CR98" s="82"/>
      <c r="CS98" s="82"/>
      <c r="CT98" s="91"/>
      <c r="CU98" s="91"/>
      <c r="CV98" s="91"/>
      <c r="CW98" s="91"/>
      <c r="CX98" s="82"/>
      <c r="CY98" s="82"/>
      <c r="CZ98" s="82"/>
      <c r="DA98" s="82"/>
      <c r="DB98" s="91">
        <v>76073.849545454548</v>
      </c>
      <c r="DC98" s="82">
        <v>159945.26866931817</v>
      </c>
      <c r="DD98" s="91"/>
      <c r="DE98" s="101"/>
    </row>
    <row r="99" spans="1:109" x14ac:dyDescent="0.2">
      <c r="A99" s="14">
        <v>91</v>
      </c>
      <c r="B99" s="28" t="s">
        <v>75</v>
      </c>
      <c r="C99" s="14" t="s">
        <v>719</v>
      </c>
      <c r="D99" s="22"/>
      <c r="E99" s="24"/>
      <c r="F99" s="82" t="s">
        <v>938</v>
      </c>
      <c r="G99" s="82" t="s">
        <v>657</v>
      </c>
      <c r="H99" s="82">
        <v>1.3075000000000001</v>
      </c>
      <c r="I99" s="82">
        <v>99466.558280681827</v>
      </c>
      <c r="J99" s="91" t="s">
        <v>945</v>
      </c>
      <c r="K99" s="91" t="s">
        <v>662</v>
      </c>
      <c r="L99" s="91">
        <v>0.1262500000000002</v>
      </c>
      <c r="M99" s="91">
        <v>9604.3235051136453</v>
      </c>
      <c r="N99" s="82" t="s">
        <v>946</v>
      </c>
      <c r="O99" s="82" t="s">
        <v>662</v>
      </c>
      <c r="P99" s="82">
        <v>0.29000000000000004</v>
      </c>
      <c r="Q99" s="82">
        <v>22061.416368181821</v>
      </c>
      <c r="R99" s="91"/>
      <c r="S99" s="91"/>
      <c r="T99" s="91"/>
      <c r="U99" s="91"/>
      <c r="V99" s="82"/>
      <c r="W99" s="82"/>
      <c r="X99" s="82"/>
      <c r="Y99" s="82"/>
      <c r="Z99" s="91"/>
      <c r="AA99" s="91"/>
      <c r="AB99" s="91"/>
      <c r="AC99" s="91"/>
      <c r="AD99" s="82"/>
      <c r="AE99" s="82"/>
      <c r="AF99" s="82"/>
      <c r="AG99" s="82"/>
      <c r="AH99" s="91"/>
      <c r="AI99" s="91"/>
      <c r="AJ99" s="91"/>
      <c r="AK99" s="91"/>
      <c r="AL99" s="82"/>
      <c r="AM99" s="82"/>
      <c r="AN99" s="82"/>
      <c r="AO99" s="82"/>
      <c r="AP99" s="91"/>
      <c r="AQ99" s="91"/>
      <c r="AR99" s="91"/>
      <c r="AS99" s="91"/>
      <c r="AT99" s="82"/>
      <c r="AU99" s="82"/>
      <c r="AV99" s="82"/>
      <c r="AW99" s="82"/>
      <c r="AX99" s="91"/>
      <c r="AY99" s="91"/>
      <c r="AZ99" s="91"/>
      <c r="BA99" s="91"/>
      <c r="BB99" s="82"/>
      <c r="BC99" s="82"/>
      <c r="BD99" s="82"/>
      <c r="BE99" s="82"/>
      <c r="BF99" s="91"/>
      <c r="BG99" s="91"/>
      <c r="BH99" s="91"/>
      <c r="BI99" s="91"/>
      <c r="BJ99" s="82"/>
      <c r="BK99" s="82"/>
      <c r="BL99" s="82"/>
      <c r="BM99" s="82"/>
      <c r="BN99" s="91"/>
      <c r="BO99" s="91"/>
      <c r="BP99" s="91"/>
      <c r="BQ99" s="91"/>
      <c r="BR99" s="82"/>
      <c r="BS99" s="82"/>
      <c r="BT99" s="82"/>
      <c r="BU99" s="82"/>
      <c r="BV99" s="91"/>
      <c r="BW99" s="91"/>
      <c r="BX99" s="91"/>
      <c r="BY99" s="91"/>
      <c r="BZ99" s="82"/>
      <c r="CA99" s="82"/>
      <c r="CB99" s="82"/>
      <c r="CC99" s="82"/>
      <c r="CD99" s="91"/>
      <c r="CE99" s="91"/>
      <c r="CF99" s="91"/>
      <c r="CG99" s="91"/>
      <c r="CH99" s="82"/>
      <c r="CI99" s="82"/>
      <c r="CJ99" s="82"/>
      <c r="CK99" s="82"/>
      <c r="CL99" s="91"/>
      <c r="CM99" s="91"/>
      <c r="CN99" s="91"/>
      <c r="CO99" s="91"/>
      <c r="CP99" s="82"/>
      <c r="CQ99" s="82"/>
      <c r="CR99" s="82"/>
      <c r="CS99" s="82"/>
      <c r="CT99" s="91"/>
      <c r="CU99" s="91"/>
      <c r="CV99" s="91"/>
      <c r="CW99" s="91"/>
      <c r="CX99" s="82"/>
      <c r="CY99" s="82"/>
      <c r="CZ99" s="82"/>
      <c r="DA99" s="82"/>
      <c r="DB99" s="91">
        <v>76073.849545454548</v>
      </c>
      <c r="DC99" s="82">
        <v>131132.29815397729</v>
      </c>
      <c r="DD99" s="91"/>
      <c r="DE99" s="101"/>
    </row>
    <row r="100" spans="1:109" x14ac:dyDescent="0.2">
      <c r="A100" s="14">
        <v>92</v>
      </c>
      <c r="B100" s="28" t="s">
        <v>79</v>
      </c>
      <c r="C100" s="14" t="s">
        <v>720</v>
      </c>
      <c r="D100" s="22"/>
      <c r="E100" s="24"/>
      <c r="F100" s="82" t="s">
        <v>938</v>
      </c>
      <c r="G100" s="82" t="s">
        <v>657</v>
      </c>
      <c r="H100" s="82">
        <v>1</v>
      </c>
      <c r="I100" s="82">
        <v>76073.849545454548</v>
      </c>
      <c r="J100" s="91" t="s">
        <v>947</v>
      </c>
      <c r="K100" s="91" t="s">
        <v>657</v>
      </c>
      <c r="L100" s="91">
        <v>1</v>
      </c>
      <c r="M100" s="91">
        <v>76073.849545454548</v>
      </c>
      <c r="N100" s="82" t="s">
        <v>948</v>
      </c>
      <c r="O100" s="82" t="s">
        <v>657</v>
      </c>
      <c r="P100" s="82">
        <v>1</v>
      </c>
      <c r="Q100" s="82">
        <v>76073.849545454548</v>
      </c>
      <c r="R100" s="91"/>
      <c r="S100" s="91"/>
      <c r="T100" s="91"/>
      <c r="U100" s="91"/>
      <c r="V100" s="82"/>
      <c r="W100" s="82"/>
      <c r="X100" s="82"/>
      <c r="Y100" s="82"/>
      <c r="Z100" s="91"/>
      <c r="AA100" s="91"/>
      <c r="AB100" s="91"/>
      <c r="AC100" s="91"/>
      <c r="AD100" s="82"/>
      <c r="AE100" s="82"/>
      <c r="AF100" s="82"/>
      <c r="AG100" s="82"/>
      <c r="AH100" s="91"/>
      <c r="AI100" s="91"/>
      <c r="AJ100" s="91"/>
      <c r="AK100" s="91"/>
      <c r="AL100" s="82"/>
      <c r="AM100" s="82"/>
      <c r="AN100" s="82"/>
      <c r="AO100" s="82"/>
      <c r="AP100" s="91"/>
      <c r="AQ100" s="91"/>
      <c r="AR100" s="91"/>
      <c r="AS100" s="91"/>
      <c r="AT100" s="82"/>
      <c r="AU100" s="82"/>
      <c r="AV100" s="82"/>
      <c r="AW100" s="82"/>
      <c r="AX100" s="91"/>
      <c r="AY100" s="91"/>
      <c r="AZ100" s="91"/>
      <c r="BA100" s="91"/>
      <c r="BB100" s="82"/>
      <c r="BC100" s="82"/>
      <c r="BD100" s="82"/>
      <c r="BE100" s="82"/>
      <c r="BF100" s="91"/>
      <c r="BG100" s="91"/>
      <c r="BH100" s="91"/>
      <c r="BI100" s="91"/>
      <c r="BJ100" s="82"/>
      <c r="BK100" s="82"/>
      <c r="BL100" s="82"/>
      <c r="BM100" s="82"/>
      <c r="BN100" s="91"/>
      <c r="BO100" s="91"/>
      <c r="BP100" s="91"/>
      <c r="BQ100" s="91"/>
      <c r="BR100" s="82"/>
      <c r="BS100" s="82"/>
      <c r="BT100" s="82"/>
      <c r="BU100" s="82"/>
      <c r="BV100" s="91"/>
      <c r="BW100" s="91"/>
      <c r="BX100" s="91"/>
      <c r="BY100" s="91"/>
      <c r="BZ100" s="82"/>
      <c r="CA100" s="82"/>
      <c r="CB100" s="82"/>
      <c r="CC100" s="82"/>
      <c r="CD100" s="91"/>
      <c r="CE100" s="91"/>
      <c r="CF100" s="91"/>
      <c r="CG100" s="91"/>
      <c r="CH100" s="82"/>
      <c r="CI100" s="82"/>
      <c r="CJ100" s="82"/>
      <c r="CK100" s="82"/>
      <c r="CL100" s="91"/>
      <c r="CM100" s="91"/>
      <c r="CN100" s="91"/>
      <c r="CO100" s="91"/>
      <c r="CP100" s="82"/>
      <c r="CQ100" s="82"/>
      <c r="CR100" s="82"/>
      <c r="CS100" s="82"/>
      <c r="CT100" s="91"/>
      <c r="CU100" s="91"/>
      <c r="CV100" s="91"/>
      <c r="CW100" s="91"/>
      <c r="CX100" s="82"/>
      <c r="CY100" s="82"/>
      <c r="CZ100" s="82"/>
      <c r="DA100" s="82"/>
      <c r="DB100" s="91">
        <v>76073.849545454548</v>
      </c>
      <c r="DC100" s="82">
        <v>228221.54863636364</v>
      </c>
      <c r="DD100" s="91"/>
      <c r="DE100" s="101"/>
    </row>
    <row r="101" spans="1:109" x14ac:dyDescent="0.2">
      <c r="A101" s="14">
        <v>93</v>
      </c>
      <c r="B101" s="28" t="s">
        <v>91</v>
      </c>
      <c r="C101" s="14" t="s">
        <v>721</v>
      </c>
      <c r="D101" s="22"/>
      <c r="E101" s="24"/>
      <c r="F101" s="82"/>
      <c r="G101" s="82" t="s">
        <v>660</v>
      </c>
      <c r="H101" s="82"/>
      <c r="I101" s="82">
        <v>0</v>
      </c>
      <c r="J101" s="91"/>
      <c r="K101" s="91"/>
      <c r="L101" s="91"/>
      <c r="M101" s="91"/>
      <c r="N101" s="82"/>
      <c r="O101" s="82"/>
      <c r="P101" s="82"/>
      <c r="Q101" s="82"/>
      <c r="R101" s="91"/>
      <c r="S101" s="91"/>
      <c r="T101" s="91"/>
      <c r="U101" s="91"/>
      <c r="V101" s="82"/>
      <c r="W101" s="82"/>
      <c r="X101" s="82"/>
      <c r="Y101" s="82"/>
      <c r="Z101" s="91"/>
      <c r="AA101" s="91"/>
      <c r="AB101" s="91"/>
      <c r="AC101" s="91"/>
      <c r="AD101" s="82"/>
      <c r="AE101" s="82"/>
      <c r="AF101" s="82"/>
      <c r="AG101" s="82"/>
      <c r="AH101" s="91"/>
      <c r="AI101" s="91"/>
      <c r="AJ101" s="91"/>
      <c r="AK101" s="91"/>
      <c r="AL101" s="82"/>
      <c r="AM101" s="82"/>
      <c r="AN101" s="82"/>
      <c r="AO101" s="82"/>
      <c r="AP101" s="91"/>
      <c r="AQ101" s="91"/>
      <c r="AR101" s="91"/>
      <c r="AS101" s="91"/>
      <c r="AT101" s="82"/>
      <c r="AU101" s="82"/>
      <c r="AV101" s="82"/>
      <c r="AW101" s="82"/>
      <c r="AX101" s="91"/>
      <c r="AY101" s="91"/>
      <c r="AZ101" s="91"/>
      <c r="BA101" s="91"/>
      <c r="BB101" s="82"/>
      <c r="BC101" s="82"/>
      <c r="BD101" s="82"/>
      <c r="BE101" s="82"/>
      <c r="BF101" s="91"/>
      <c r="BG101" s="91"/>
      <c r="BH101" s="91"/>
      <c r="BI101" s="91"/>
      <c r="BJ101" s="82"/>
      <c r="BK101" s="82"/>
      <c r="BL101" s="82"/>
      <c r="BM101" s="82"/>
      <c r="BN101" s="91"/>
      <c r="BO101" s="91"/>
      <c r="BP101" s="91"/>
      <c r="BQ101" s="91"/>
      <c r="BR101" s="82"/>
      <c r="BS101" s="82"/>
      <c r="BT101" s="82"/>
      <c r="BU101" s="82"/>
      <c r="BV101" s="91"/>
      <c r="BW101" s="91"/>
      <c r="BX101" s="91"/>
      <c r="BY101" s="91"/>
      <c r="BZ101" s="82"/>
      <c r="CA101" s="82"/>
      <c r="CB101" s="82"/>
      <c r="CC101" s="82"/>
      <c r="CD101" s="91"/>
      <c r="CE101" s="91"/>
      <c r="CF101" s="91"/>
      <c r="CG101" s="91"/>
      <c r="CH101" s="82"/>
      <c r="CI101" s="82"/>
      <c r="CJ101" s="82"/>
      <c r="CK101" s="82"/>
      <c r="CL101" s="91"/>
      <c r="CM101" s="91"/>
      <c r="CN101" s="91"/>
      <c r="CO101" s="91"/>
      <c r="CP101" s="82"/>
      <c r="CQ101" s="82"/>
      <c r="CR101" s="82"/>
      <c r="CS101" s="82"/>
      <c r="CT101" s="91"/>
      <c r="CU101" s="91"/>
      <c r="CV101" s="91"/>
      <c r="CW101" s="91"/>
      <c r="CX101" s="82"/>
      <c r="CY101" s="82"/>
      <c r="CZ101" s="82"/>
      <c r="DA101" s="82"/>
      <c r="DB101" s="91"/>
      <c r="DC101" s="82">
        <v>397894</v>
      </c>
      <c r="DD101" s="91"/>
      <c r="DE101" s="101"/>
    </row>
    <row r="102" spans="1:109" x14ac:dyDescent="0.2">
      <c r="A102" s="14">
        <v>94</v>
      </c>
      <c r="B102" s="28" t="s">
        <v>95</v>
      </c>
      <c r="C102" s="14" t="s">
        <v>722</v>
      </c>
      <c r="D102" s="22"/>
      <c r="E102" s="24"/>
      <c r="F102" s="82"/>
      <c r="G102" s="82" t="s">
        <v>660</v>
      </c>
      <c r="H102" s="82"/>
      <c r="I102" s="82"/>
      <c r="J102" s="91"/>
      <c r="K102" s="91"/>
      <c r="L102" s="91"/>
      <c r="M102" s="91"/>
      <c r="N102" s="82"/>
      <c r="O102" s="82"/>
      <c r="P102" s="82"/>
      <c r="Q102" s="82"/>
      <c r="R102" s="91"/>
      <c r="S102" s="91"/>
      <c r="T102" s="91"/>
      <c r="U102" s="91"/>
      <c r="V102" s="82"/>
      <c r="W102" s="82"/>
      <c r="X102" s="82"/>
      <c r="Y102" s="82"/>
      <c r="Z102" s="91"/>
      <c r="AA102" s="91"/>
      <c r="AB102" s="91"/>
      <c r="AC102" s="91"/>
      <c r="AD102" s="82"/>
      <c r="AE102" s="82"/>
      <c r="AF102" s="82"/>
      <c r="AG102" s="82"/>
      <c r="AH102" s="91"/>
      <c r="AI102" s="91"/>
      <c r="AJ102" s="91"/>
      <c r="AK102" s="91"/>
      <c r="AL102" s="82"/>
      <c r="AM102" s="82"/>
      <c r="AN102" s="82"/>
      <c r="AO102" s="82"/>
      <c r="AP102" s="91"/>
      <c r="AQ102" s="91"/>
      <c r="AR102" s="91"/>
      <c r="AS102" s="91"/>
      <c r="AT102" s="82"/>
      <c r="AU102" s="82"/>
      <c r="AV102" s="82"/>
      <c r="AW102" s="82"/>
      <c r="AX102" s="91"/>
      <c r="AY102" s="91"/>
      <c r="AZ102" s="91"/>
      <c r="BA102" s="91"/>
      <c r="BB102" s="82"/>
      <c r="BC102" s="82"/>
      <c r="BD102" s="82"/>
      <c r="BE102" s="82"/>
      <c r="BF102" s="91"/>
      <c r="BG102" s="91"/>
      <c r="BH102" s="91"/>
      <c r="BI102" s="91"/>
      <c r="BJ102" s="82"/>
      <c r="BK102" s="82"/>
      <c r="BL102" s="82"/>
      <c r="BM102" s="82"/>
      <c r="BN102" s="91"/>
      <c r="BO102" s="91"/>
      <c r="BP102" s="91"/>
      <c r="BQ102" s="91"/>
      <c r="BR102" s="82"/>
      <c r="BS102" s="82"/>
      <c r="BT102" s="82"/>
      <c r="BU102" s="82"/>
      <c r="BV102" s="91"/>
      <c r="BW102" s="91"/>
      <c r="BX102" s="91"/>
      <c r="BY102" s="91"/>
      <c r="BZ102" s="82"/>
      <c r="CA102" s="82"/>
      <c r="CB102" s="82"/>
      <c r="CC102" s="82"/>
      <c r="CD102" s="91"/>
      <c r="CE102" s="91"/>
      <c r="CF102" s="91"/>
      <c r="CG102" s="91"/>
      <c r="CH102" s="82"/>
      <c r="CI102" s="82"/>
      <c r="CJ102" s="82"/>
      <c r="CK102" s="82"/>
      <c r="CL102" s="91"/>
      <c r="CM102" s="91"/>
      <c r="CN102" s="91"/>
      <c r="CO102" s="91"/>
      <c r="CP102" s="82"/>
      <c r="CQ102" s="82"/>
      <c r="CR102" s="82"/>
      <c r="CS102" s="82"/>
      <c r="CT102" s="91"/>
      <c r="CU102" s="91"/>
      <c r="CV102" s="91"/>
      <c r="CW102" s="91"/>
      <c r="CX102" s="82"/>
      <c r="CY102" s="82"/>
      <c r="CZ102" s="82"/>
      <c r="DA102" s="82"/>
      <c r="DB102" s="91"/>
      <c r="DC102" s="82">
        <v>483157</v>
      </c>
      <c r="DD102" s="91"/>
      <c r="DE102" s="101"/>
    </row>
    <row r="103" spans="1:109" x14ac:dyDescent="0.2">
      <c r="A103" s="14">
        <v>95</v>
      </c>
      <c r="B103" s="28" t="s">
        <v>97</v>
      </c>
      <c r="C103" s="14" t="s">
        <v>723</v>
      </c>
      <c r="D103" s="22"/>
      <c r="E103" s="24"/>
      <c r="F103" s="82" t="s">
        <v>948</v>
      </c>
      <c r="G103" s="82" t="s">
        <v>662</v>
      </c>
      <c r="H103" s="82">
        <v>0.25999999999999979</v>
      </c>
      <c r="I103" s="82">
        <v>21300.677863636349</v>
      </c>
      <c r="J103" s="91" t="s">
        <v>941</v>
      </c>
      <c r="K103" s="91" t="s">
        <v>657</v>
      </c>
      <c r="L103" s="91">
        <v>1.0625</v>
      </c>
      <c r="M103" s="91">
        <v>87046.039346590915</v>
      </c>
      <c r="N103" s="82"/>
      <c r="O103" s="82"/>
      <c r="P103" s="82"/>
      <c r="Q103" s="82"/>
      <c r="R103" s="91"/>
      <c r="S103" s="91"/>
      <c r="T103" s="91"/>
      <c r="U103" s="91"/>
      <c r="V103" s="82"/>
      <c r="W103" s="82"/>
      <c r="X103" s="82"/>
      <c r="Y103" s="82"/>
      <c r="Z103" s="91"/>
      <c r="AA103" s="91"/>
      <c r="AB103" s="91"/>
      <c r="AC103" s="91"/>
      <c r="AD103" s="82"/>
      <c r="AE103" s="82"/>
      <c r="AF103" s="82"/>
      <c r="AG103" s="82"/>
      <c r="AH103" s="91"/>
      <c r="AI103" s="91"/>
      <c r="AJ103" s="91"/>
      <c r="AK103" s="91"/>
      <c r="AL103" s="82"/>
      <c r="AM103" s="82"/>
      <c r="AN103" s="82"/>
      <c r="AO103" s="82"/>
      <c r="AP103" s="91"/>
      <c r="AQ103" s="91"/>
      <c r="AR103" s="91"/>
      <c r="AS103" s="91"/>
      <c r="AT103" s="82"/>
      <c r="AU103" s="82"/>
      <c r="AV103" s="82"/>
      <c r="AW103" s="82"/>
      <c r="AX103" s="91"/>
      <c r="AY103" s="91"/>
      <c r="AZ103" s="91"/>
      <c r="BA103" s="91"/>
      <c r="BB103" s="82"/>
      <c r="BC103" s="82"/>
      <c r="BD103" s="82"/>
      <c r="BE103" s="82"/>
      <c r="BF103" s="91"/>
      <c r="BG103" s="91"/>
      <c r="BH103" s="91"/>
      <c r="BI103" s="91"/>
      <c r="BJ103" s="82"/>
      <c r="BK103" s="82"/>
      <c r="BL103" s="82"/>
      <c r="BM103" s="82"/>
      <c r="BN103" s="91"/>
      <c r="BO103" s="91"/>
      <c r="BP103" s="91"/>
      <c r="BQ103" s="91"/>
      <c r="BR103" s="82"/>
      <c r="BS103" s="82"/>
      <c r="BT103" s="82"/>
      <c r="BU103" s="82"/>
      <c r="BV103" s="91"/>
      <c r="BW103" s="91"/>
      <c r="BX103" s="91"/>
      <c r="BY103" s="91"/>
      <c r="BZ103" s="82"/>
      <c r="CA103" s="82"/>
      <c r="CB103" s="82"/>
      <c r="CC103" s="82"/>
      <c r="CD103" s="91"/>
      <c r="CE103" s="91"/>
      <c r="CF103" s="91"/>
      <c r="CG103" s="91"/>
      <c r="CH103" s="82"/>
      <c r="CI103" s="82"/>
      <c r="CJ103" s="82"/>
      <c r="CK103" s="82"/>
      <c r="CL103" s="91"/>
      <c r="CM103" s="91"/>
      <c r="CN103" s="91"/>
      <c r="CO103" s="91"/>
      <c r="CP103" s="82"/>
      <c r="CQ103" s="82"/>
      <c r="CR103" s="82"/>
      <c r="CS103" s="82"/>
      <c r="CT103" s="91"/>
      <c r="CU103" s="91"/>
      <c r="CV103" s="91"/>
      <c r="CW103" s="91"/>
      <c r="CX103" s="82"/>
      <c r="CY103" s="82"/>
      <c r="CZ103" s="82"/>
      <c r="DA103" s="82"/>
      <c r="DB103" s="91">
        <v>81925.684090909097</v>
      </c>
      <c r="DC103" s="82">
        <v>108346.71721022726</v>
      </c>
      <c r="DD103" s="91"/>
      <c r="DE103" s="101"/>
    </row>
    <row r="104" spans="1:109" x14ac:dyDescent="0.2">
      <c r="A104" s="14">
        <v>96</v>
      </c>
      <c r="B104" s="28" t="s">
        <v>859</v>
      </c>
      <c r="C104" s="14" t="s">
        <v>724</v>
      </c>
      <c r="D104" s="22"/>
      <c r="E104" s="24"/>
      <c r="F104" s="82"/>
      <c r="G104" s="82"/>
      <c r="H104" s="82"/>
      <c r="I104" s="82"/>
      <c r="J104" s="91"/>
      <c r="K104" s="91"/>
      <c r="L104" s="91"/>
      <c r="M104" s="91"/>
      <c r="N104" s="82"/>
      <c r="O104" s="82"/>
      <c r="P104" s="82"/>
      <c r="Q104" s="82"/>
      <c r="R104" s="91"/>
      <c r="S104" s="91"/>
      <c r="T104" s="91"/>
      <c r="U104" s="91"/>
      <c r="V104" s="82"/>
      <c r="W104" s="82"/>
      <c r="X104" s="82"/>
      <c r="Y104" s="82"/>
      <c r="Z104" s="91"/>
      <c r="AA104" s="91"/>
      <c r="AB104" s="91"/>
      <c r="AC104" s="91"/>
      <c r="AD104" s="82"/>
      <c r="AE104" s="82"/>
      <c r="AF104" s="82"/>
      <c r="AG104" s="82"/>
      <c r="AH104" s="91"/>
      <c r="AI104" s="91"/>
      <c r="AJ104" s="91"/>
      <c r="AK104" s="91"/>
      <c r="AL104" s="82"/>
      <c r="AM104" s="82"/>
      <c r="AN104" s="82"/>
      <c r="AO104" s="82"/>
      <c r="AP104" s="91"/>
      <c r="AQ104" s="91"/>
      <c r="AR104" s="91"/>
      <c r="AS104" s="91"/>
      <c r="AT104" s="82"/>
      <c r="AU104" s="82"/>
      <c r="AV104" s="82"/>
      <c r="AW104" s="82"/>
      <c r="AX104" s="91"/>
      <c r="AY104" s="91"/>
      <c r="AZ104" s="91"/>
      <c r="BA104" s="91"/>
      <c r="BB104" s="82"/>
      <c r="BC104" s="82"/>
      <c r="BD104" s="82"/>
      <c r="BE104" s="82"/>
      <c r="BF104" s="91"/>
      <c r="BG104" s="91"/>
      <c r="BH104" s="91"/>
      <c r="BI104" s="91"/>
      <c r="BJ104" s="82"/>
      <c r="BK104" s="82"/>
      <c r="BL104" s="82"/>
      <c r="BM104" s="82"/>
      <c r="BN104" s="91"/>
      <c r="BO104" s="91"/>
      <c r="BP104" s="91"/>
      <c r="BQ104" s="91"/>
      <c r="BR104" s="82"/>
      <c r="BS104" s="82"/>
      <c r="BT104" s="82"/>
      <c r="BU104" s="82"/>
      <c r="BV104" s="91"/>
      <c r="BW104" s="91"/>
      <c r="BX104" s="91"/>
      <c r="BY104" s="91"/>
      <c r="BZ104" s="82"/>
      <c r="CA104" s="82"/>
      <c r="CB104" s="82"/>
      <c r="CC104" s="82"/>
      <c r="CD104" s="91"/>
      <c r="CE104" s="91"/>
      <c r="CF104" s="91"/>
      <c r="CG104" s="91"/>
      <c r="CH104" s="82"/>
      <c r="CI104" s="82"/>
      <c r="CJ104" s="82"/>
      <c r="CK104" s="82"/>
      <c r="CL104" s="91"/>
      <c r="CM104" s="91"/>
      <c r="CN104" s="91"/>
      <c r="CO104" s="91"/>
      <c r="CP104" s="82"/>
      <c r="CQ104" s="82"/>
      <c r="CR104" s="82"/>
      <c r="CS104" s="82"/>
      <c r="CT104" s="91"/>
      <c r="CU104" s="91"/>
      <c r="CV104" s="91"/>
      <c r="CW104" s="91"/>
      <c r="CX104" s="82"/>
      <c r="CY104" s="82"/>
      <c r="CZ104" s="82"/>
      <c r="DA104" s="82"/>
      <c r="DB104" s="91"/>
      <c r="DC104" s="82"/>
      <c r="DD104" s="91"/>
      <c r="DE104" s="101"/>
    </row>
    <row r="105" spans="1:109" x14ac:dyDescent="0.2">
      <c r="A105" s="14">
        <v>97</v>
      </c>
      <c r="B105" s="28" t="s">
        <v>101</v>
      </c>
      <c r="C105" s="14" t="s">
        <v>725</v>
      </c>
      <c r="D105" s="22"/>
      <c r="E105" s="24"/>
      <c r="F105" s="82" t="s">
        <v>949</v>
      </c>
      <c r="G105" s="82" t="s">
        <v>658</v>
      </c>
      <c r="H105" s="82">
        <v>1</v>
      </c>
      <c r="I105" s="82">
        <v>76073.849545454548</v>
      </c>
      <c r="J105" s="91"/>
      <c r="K105" s="91"/>
      <c r="L105" s="91"/>
      <c r="M105" s="91"/>
      <c r="N105" s="82"/>
      <c r="O105" s="82"/>
      <c r="P105" s="82"/>
      <c r="Q105" s="82"/>
      <c r="R105" s="91"/>
      <c r="S105" s="91"/>
      <c r="T105" s="91"/>
      <c r="U105" s="91"/>
      <c r="V105" s="82"/>
      <c r="W105" s="82"/>
      <c r="X105" s="82"/>
      <c r="Y105" s="82"/>
      <c r="Z105" s="91"/>
      <c r="AA105" s="91"/>
      <c r="AB105" s="91"/>
      <c r="AC105" s="91"/>
      <c r="AD105" s="82"/>
      <c r="AE105" s="82"/>
      <c r="AF105" s="82"/>
      <c r="AG105" s="82"/>
      <c r="AH105" s="91"/>
      <c r="AI105" s="91"/>
      <c r="AJ105" s="91"/>
      <c r="AK105" s="91"/>
      <c r="AL105" s="82"/>
      <c r="AM105" s="82"/>
      <c r="AN105" s="82"/>
      <c r="AO105" s="82"/>
      <c r="AP105" s="91"/>
      <c r="AQ105" s="91"/>
      <c r="AR105" s="91"/>
      <c r="AS105" s="91"/>
      <c r="AT105" s="82"/>
      <c r="AU105" s="82"/>
      <c r="AV105" s="82"/>
      <c r="AW105" s="82"/>
      <c r="AX105" s="91"/>
      <c r="AY105" s="91"/>
      <c r="AZ105" s="91"/>
      <c r="BA105" s="91"/>
      <c r="BB105" s="82"/>
      <c r="BC105" s="82"/>
      <c r="BD105" s="82"/>
      <c r="BE105" s="82"/>
      <c r="BF105" s="91"/>
      <c r="BG105" s="91"/>
      <c r="BH105" s="91"/>
      <c r="BI105" s="91"/>
      <c r="BJ105" s="82"/>
      <c r="BK105" s="82"/>
      <c r="BL105" s="82"/>
      <c r="BM105" s="82"/>
      <c r="BN105" s="91"/>
      <c r="BO105" s="91"/>
      <c r="BP105" s="91"/>
      <c r="BQ105" s="91"/>
      <c r="BR105" s="82"/>
      <c r="BS105" s="82"/>
      <c r="BT105" s="82"/>
      <c r="BU105" s="82"/>
      <c r="BV105" s="91"/>
      <c r="BW105" s="91"/>
      <c r="BX105" s="91"/>
      <c r="BY105" s="91"/>
      <c r="BZ105" s="82"/>
      <c r="CA105" s="82"/>
      <c r="CB105" s="82"/>
      <c r="CC105" s="82"/>
      <c r="CD105" s="91"/>
      <c r="CE105" s="91"/>
      <c r="CF105" s="91"/>
      <c r="CG105" s="91"/>
      <c r="CH105" s="82"/>
      <c r="CI105" s="82"/>
      <c r="CJ105" s="82"/>
      <c r="CK105" s="82"/>
      <c r="CL105" s="91"/>
      <c r="CM105" s="91"/>
      <c r="CN105" s="91"/>
      <c r="CO105" s="91"/>
      <c r="CP105" s="82"/>
      <c r="CQ105" s="82"/>
      <c r="CR105" s="82"/>
      <c r="CS105" s="82"/>
      <c r="CT105" s="91"/>
      <c r="CU105" s="91"/>
      <c r="CV105" s="91"/>
      <c r="CW105" s="91"/>
      <c r="CX105" s="82"/>
      <c r="CY105" s="82"/>
      <c r="CZ105" s="82"/>
      <c r="DA105" s="82"/>
      <c r="DB105" s="91">
        <v>76073.849545454548</v>
      </c>
      <c r="DC105" s="82">
        <v>76073.849545454548</v>
      </c>
      <c r="DD105" s="91"/>
      <c r="DE105" s="101"/>
    </row>
    <row r="106" spans="1:109" x14ac:dyDescent="0.2">
      <c r="A106" s="14">
        <v>98</v>
      </c>
      <c r="B106" s="28" t="s">
        <v>103</v>
      </c>
      <c r="C106" s="14" t="s">
        <v>726</v>
      </c>
      <c r="D106" s="22"/>
      <c r="E106" s="24"/>
      <c r="F106" s="82" t="s">
        <v>950</v>
      </c>
      <c r="G106" s="82" t="s">
        <v>662</v>
      </c>
      <c r="H106" s="82">
        <v>0.79375000000000018</v>
      </c>
      <c r="I106" s="82">
        <v>60383.618076704559</v>
      </c>
      <c r="J106" s="91" t="s">
        <v>942</v>
      </c>
      <c r="K106" s="91" t="s">
        <v>662</v>
      </c>
      <c r="L106" s="91">
        <v>0.39000000000000012</v>
      </c>
      <c r="M106" s="91">
        <v>29668.801322727268</v>
      </c>
      <c r="N106" s="82" t="s">
        <v>945</v>
      </c>
      <c r="O106" s="82" t="s">
        <v>662</v>
      </c>
      <c r="P106" s="82">
        <v>0.29749999999999988</v>
      </c>
      <c r="Q106" s="82">
        <v>22631.970239772705</v>
      </c>
      <c r="R106" s="91" t="s">
        <v>946</v>
      </c>
      <c r="S106" s="91" t="s">
        <v>662</v>
      </c>
      <c r="T106" s="91">
        <v>0.51500000000000012</v>
      </c>
      <c r="U106" s="91">
        <v>39178.032515909079</v>
      </c>
      <c r="V106" s="82"/>
      <c r="W106" s="82"/>
      <c r="X106" s="82"/>
      <c r="Y106" s="82"/>
      <c r="Z106" s="91"/>
      <c r="AA106" s="91"/>
      <c r="AB106" s="91"/>
      <c r="AC106" s="91"/>
      <c r="AD106" s="82"/>
      <c r="AE106" s="82"/>
      <c r="AF106" s="82"/>
      <c r="AG106" s="82"/>
      <c r="AH106" s="91"/>
      <c r="AI106" s="91"/>
      <c r="AJ106" s="91"/>
      <c r="AK106" s="91"/>
      <c r="AL106" s="82"/>
      <c r="AM106" s="82"/>
      <c r="AN106" s="82"/>
      <c r="AO106" s="82"/>
      <c r="AP106" s="91"/>
      <c r="AQ106" s="91"/>
      <c r="AR106" s="91"/>
      <c r="AS106" s="91"/>
      <c r="AT106" s="82"/>
      <c r="AU106" s="82"/>
      <c r="AV106" s="82"/>
      <c r="AW106" s="82"/>
      <c r="AX106" s="91"/>
      <c r="AY106" s="91"/>
      <c r="AZ106" s="91"/>
      <c r="BA106" s="91"/>
      <c r="BB106" s="82"/>
      <c r="BC106" s="82"/>
      <c r="BD106" s="82"/>
      <c r="BE106" s="82"/>
      <c r="BF106" s="91"/>
      <c r="BG106" s="91"/>
      <c r="BH106" s="91"/>
      <c r="BI106" s="91"/>
      <c r="BJ106" s="82"/>
      <c r="BK106" s="82"/>
      <c r="BL106" s="82"/>
      <c r="BM106" s="82"/>
      <c r="BN106" s="91"/>
      <c r="BO106" s="91"/>
      <c r="BP106" s="91"/>
      <c r="BQ106" s="91"/>
      <c r="BR106" s="82"/>
      <c r="BS106" s="82"/>
      <c r="BT106" s="82"/>
      <c r="BU106" s="82"/>
      <c r="BV106" s="91"/>
      <c r="BW106" s="91"/>
      <c r="BX106" s="91"/>
      <c r="BY106" s="91"/>
      <c r="BZ106" s="82"/>
      <c r="CA106" s="82"/>
      <c r="CB106" s="82"/>
      <c r="CC106" s="82"/>
      <c r="CD106" s="91"/>
      <c r="CE106" s="91"/>
      <c r="CF106" s="91"/>
      <c r="CG106" s="91"/>
      <c r="CH106" s="82"/>
      <c r="CI106" s="82"/>
      <c r="CJ106" s="82"/>
      <c r="CK106" s="82"/>
      <c r="CL106" s="91"/>
      <c r="CM106" s="91"/>
      <c r="CN106" s="91"/>
      <c r="CO106" s="91"/>
      <c r="CP106" s="82"/>
      <c r="CQ106" s="82"/>
      <c r="CR106" s="82"/>
      <c r="CS106" s="82"/>
      <c r="CT106" s="91"/>
      <c r="CU106" s="91"/>
      <c r="CV106" s="91"/>
      <c r="CW106" s="91"/>
      <c r="CX106" s="82"/>
      <c r="CY106" s="82"/>
      <c r="CZ106" s="82"/>
      <c r="DA106" s="82"/>
      <c r="DB106" s="91">
        <v>76073.849545454548</v>
      </c>
      <c r="DC106" s="82">
        <v>151862.4221551136</v>
      </c>
      <c r="DD106" s="91"/>
      <c r="DE106" s="101"/>
    </row>
    <row r="107" spans="1:109" x14ac:dyDescent="0.2">
      <c r="A107" s="14">
        <v>99</v>
      </c>
      <c r="B107" s="28" t="s">
        <v>105</v>
      </c>
      <c r="C107" s="14" t="s">
        <v>727</v>
      </c>
      <c r="D107" s="22"/>
      <c r="E107" s="24"/>
      <c r="F107" s="82"/>
      <c r="G107" s="82"/>
      <c r="H107" s="82"/>
      <c r="I107" s="82"/>
      <c r="J107" s="91"/>
      <c r="K107" s="91"/>
      <c r="L107" s="91"/>
      <c r="M107" s="91"/>
      <c r="N107" s="82"/>
      <c r="O107" s="82"/>
      <c r="P107" s="82"/>
      <c r="Q107" s="82"/>
      <c r="R107" s="91"/>
      <c r="S107" s="91"/>
      <c r="T107" s="91"/>
      <c r="U107" s="91"/>
      <c r="V107" s="82"/>
      <c r="W107" s="82"/>
      <c r="X107" s="82"/>
      <c r="Y107" s="82"/>
      <c r="Z107" s="91"/>
      <c r="AA107" s="91"/>
      <c r="AB107" s="91"/>
      <c r="AC107" s="91"/>
      <c r="AD107" s="82"/>
      <c r="AE107" s="82"/>
      <c r="AF107" s="82"/>
      <c r="AG107" s="82"/>
      <c r="AH107" s="91"/>
      <c r="AI107" s="91"/>
      <c r="AJ107" s="91"/>
      <c r="AK107" s="91"/>
      <c r="AL107" s="82"/>
      <c r="AM107" s="82"/>
      <c r="AN107" s="82"/>
      <c r="AO107" s="82"/>
      <c r="AP107" s="91"/>
      <c r="AQ107" s="91"/>
      <c r="AR107" s="91"/>
      <c r="AS107" s="91"/>
      <c r="AT107" s="82"/>
      <c r="AU107" s="82"/>
      <c r="AV107" s="82"/>
      <c r="AW107" s="82"/>
      <c r="AX107" s="91"/>
      <c r="AY107" s="91"/>
      <c r="AZ107" s="91"/>
      <c r="BA107" s="91"/>
      <c r="BB107" s="82"/>
      <c r="BC107" s="82"/>
      <c r="BD107" s="82"/>
      <c r="BE107" s="82"/>
      <c r="BF107" s="91"/>
      <c r="BG107" s="91"/>
      <c r="BH107" s="91"/>
      <c r="BI107" s="91"/>
      <c r="BJ107" s="82"/>
      <c r="BK107" s="82"/>
      <c r="BL107" s="82"/>
      <c r="BM107" s="82"/>
      <c r="BN107" s="91"/>
      <c r="BO107" s="91"/>
      <c r="BP107" s="91"/>
      <c r="BQ107" s="91"/>
      <c r="BR107" s="82"/>
      <c r="BS107" s="82"/>
      <c r="BT107" s="82"/>
      <c r="BU107" s="82"/>
      <c r="BV107" s="91"/>
      <c r="BW107" s="91"/>
      <c r="BX107" s="91"/>
      <c r="BY107" s="91"/>
      <c r="BZ107" s="82"/>
      <c r="CA107" s="82"/>
      <c r="CB107" s="82"/>
      <c r="CC107" s="82"/>
      <c r="CD107" s="91"/>
      <c r="CE107" s="91"/>
      <c r="CF107" s="91"/>
      <c r="CG107" s="91"/>
      <c r="CH107" s="82"/>
      <c r="CI107" s="82"/>
      <c r="CJ107" s="82"/>
      <c r="CK107" s="82"/>
      <c r="CL107" s="91"/>
      <c r="CM107" s="91"/>
      <c r="CN107" s="91"/>
      <c r="CO107" s="91"/>
      <c r="CP107" s="82"/>
      <c r="CQ107" s="82"/>
      <c r="CR107" s="82"/>
      <c r="CS107" s="82"/>
      <c r="CT107" s="91"/>
      <c r="CU107" s="91"/>
      <c r="CV107" s="91"/>
      <c r="CW107" s="91"/>
      <c r="CX107" s="82"/>
      <c r="CY107" s="82"/>
      <c r="CZ107" s="82"/>
      <c r="DA107" s="82"/>
      <c r="DB107" s="91"/>
      <c r="DC107" s="82"/>
      <c r="DD107" s="91"/>
      <c r="DE107" s="101"/>
    </row>
    <row r="108" spans="1:109" x14ac:dyDescent="0.2">
      <c r="A108" s="14">
        <v>100</v>
      </c>
      <c r="B108" s="28" t="s">
        <v>107</v>
      </c>
      <c r="C108" s="14" t="s">
        <v>728</v>
      </c>
      <c r="D108" s="22"/>
      <c r="E108" s="24"/>
      <c r="F108" s="82" t="s">
        <v>908</v>
      </c>
      <c r="G108" s="82" t="s">
        <v>662</v>
      </c>
      <c r="H108" s="82">
        <v>0.25</v>
      </c>
      <c r="I108" s="82">
        <v>24870.297045454547</v>
      </c>
      <c r="J108" s="91" t="s">
        <v>900</v>
      </c>
      <c r="K108" s="91" t="s">
        <v>662</v>
      </c>
      <c r="L108" s="91">
        <v>0.5</v>
      </c>
      <c r="M108" s="91">
        <v>49740.594090909093</v>
      </c>
      <c r="N108" s="82"/>
      <c r="O108" s="82"/>
      <c r="P108" s="82"/>
      <c r="Q108" s="82"/>
      <c r="R108" s="91"/>
      <c r="S108" s="91"/>
      <c r="T108" s="91"/>
      <c r="U108" s="91"/>
      <c r="V108" s="82"/>
      <c r="W108" s="82"/>
      <c r="X108" s="82"/>
      <c r="Y108" s="82"/>
      <c r="Z108" s="91"/>
      <c r="AA108" s="91"/>
      <c r="AB108" s="91"/>
      <c r="AC108" s="91"/>
      <c r="AD108" s="82"/>
      <c r="AE108" s="82"/>
      <c r="AF108" s="82"/>
      <c r="AG108" s="82"/>
      <c r="AH108" s="91"/>
      <c r="AI108" s="91"/>
      <c r="AJ108" s="91"/>
      <c r="AK108" s="91"/>
      <c r="AL108" s="82"/>
      <c r="AM108" s="82"/>
      <c r="AN108" s="82"/>
      <c r="AO108" s="82"/>
      <c r="AP108" s="91"/>
      <c r="AQ108" s="91"/>
      <c r="AR108" s="91"/>
      <c r="AS108" s="91"/>
      <c r="AT108" s="82"/>
      <c r="AU108" s="82"/>
      <c r="AV108" s="82"/>
      <c r="AW108" s="82"/>
      <c r="AX108" s="91"/>
      <c r="AY108" s="91"/>
      <c r="AZ108" s="91"/>
      <c r="BA108" s="91"/>
      <c r="BB108" s="82"/>
      <c r="BC108" s="82"/>
      <c r="BD108" s="82"/>
      <c r="BE108" s="82"/>
      <c r="BF108" s="91"/>
      <c r="BG108" s="91"/>
      <c r="BH108" s="91"/>
      <c r="BI108" s="91"/>
      <c r="BJ108" s="82"/>
      <c r="BK108" s="82"/>
      <c r="BL108" s="82"/>
      <c r="BM108" s="82"/>
      <c r="BN108" s="91"/>
      <c r="BO108" s="91"/>
      <c r="BP108" s="91"/>
      <c r="BQ108" s="91"/>
      <c r="BR108" s="82"/>
      <c r="BS108" s="82"/>
      <c r="BT108" s="82"/>
      <c r="BU108" s="82"/>
      <c r="BV108" s="91"/>
      <c r="BW108" s="91"/>
      <c r="BX108" s="91"/>
      <c r="BY108" s="91"/>
      <c r="BZ108" s="82"/>
      <c r="CA108" s="82"/>
      <c r="CB108" s="82"/>
      <c r="CC108" s="82"/>
      <c r="CD108" s="91"/>
      <c r="CE108" s="91"/>
      <c r="CF108" s="91"/>
      <c r="CG108" s="91"/>
      <c r="CH108" s="82"/>
      <c r="CI108" s="82"/>
      <c r="CJ108" s="82"/>
      <c r="CK108" s="82"/>
      <c r="CL108" s="91"/>
      <c r="CM108" s="91"/>
      <c r="CN108" s="91"/>
      <c r="CO108" s="91"/>
      <c r="CP108" s="82"/>
      <c r="CQ108" s="82"/>
      <c r="CR108" s="82"/>
      <c r="CS108" s="82"/>
      <c r="CT108" s="91"/>
      <c r="CU108" s="91"/>
      <c r="CV108" s="91"/>
      <c r="CW108" s="91"/>
      <c r="CX108" s="82"/>
      <c r="CY108" s="82"/>
      <c r="CZ108" s="82"/>
      <c r="DA108" s="82"/>
      <c r="DB108" s="91">
        <v>99481.188181818186</v>
      </c>
      <c r="DC108" s="82">
        <v>74610.891136363643</v>
      </c>
      <c r="DD108" s="91"/>
      <c r="DE108" s="101"/>
    </row>
    <row r="109" spans="1:109" x14ac:dyDescent="0.2">
      <c r="A109" s="14">
        <v>101</v>
      </c>
      <c r="B109" s="28" t="s">
        <v>111</v>
      </c>
      <c r="C109" s="14" t="s">
        <v>804</v>
      </c>
      <c r="D109" s="22"/>
      <c r="E109" s="24"/>
      <c r="F109" s="82" t="s">
        <v>949</v>
      </c>
      <c r="G109" s="82" t="s">
        <v>657</v>
      </c>
      <c r="H109" s="82">
        <v>1</v>
      </c>
      <c r="I109" s="82">
        <v>67881.281363636357</v>
      </c>
      <c r="J109" s="91" t="s">
        <v>939</v>
      </c>
      <c r="K109" s="91" t="s">
        <v>657</v>
      </c>
      <c r="L109" s="91">
        <v>1</v>
      </c>
      <c r="M109" s="91">
        <v>67881.281363636357</v>
      </c>
      <c r="N109" s="82" t="s">
        <v>951</v>
      </c>
      <c r="O109" s="82" t="s">
        <v>657</v>
      </c>
      <c r="P109" s="82">
        <v>1</v>
      </c>
      <c r="Q109" s="82">
        <v>67881.281363636357</v>
      </c>
      <c r="R109" s="91" t="s">
        <v>941</v>
      </c>
      <c r="S109" s="91" t="s">
        <v>657</v>
      </c>
      <c r="T109" s="91">
        <v>1</v>
      </c>
      <c r="U109" s="91">
        <v>67881.281363636357</v>
      </c>
      <c r="V109" s="82"/>
      <c r="W109" s="82"/>
      <c r="X109" s="82"/>
      <c r="Y109" s="82"/>
      <c r="Z109" s="91"/>
      <c r="AA109" s="91"/>
      <c r="AB109" s="91"/>
      <c r="AC109" s="91"/>
      <c r="AD109" s="82"/>
      <c r="AE109" s="82"/>
      <c r="AF109" s="82"/>
      <c r="AG109" s="82"/>
      <c r="AH109" s="91"/>
      <c r="AI109" s="91"/>
      <c r="AJ109" s="91"/>
      <c r="AK109" s="91"/>
      <c r="AL109" s="82"/>
      <c r="AM109" s="82"/>
      <c r="AN109" s="82"/>
      <c r="AO109" s="82"/>
      <c r="AP109" s="91"/>
      <c r="AQ109" s="91"/>
      <c r="AR109" s="91"/>
      <c r="AS109" s="91"/>
      <c r="AT109" s="82"/>
      <c r="AU109" s="82"/>
      <c r="AV109" s="82"/>
      <c r="AW109" s="82"/>
      <c r="AX109" s="91"/>
      <c r="AY109" s="91"/>
      <c r="AZ109" s="91"/>
      <c r="BA109" s="91"/>
      <c r="BB109" s="82"/>
      <c r="BC109" s="82"/>
      <c r="BD109" s="82"/>
      <c r="BE109" s="82"/>
      <c r="BF109" s="91"/>
      <c r="BG109" s="91"/>
      <c r="BH109" s="91"/>
      <c r="BI109" s="91"/>
      <c r="BJ109" s="82"/>
      <c r="BK109" s="82"/>
      <c r="BL109" s="82"/>
      <c r="BM109" s="82"/>
      <c r="BN109" s="91"/>
      <c r="BO109" s="91"/>
      <c r="BP109" s="91"/>
      <c r="BQ109" s="91"/>
      <c r="BR109" s="82"/>
      <c r="BS109" s="82"/>
      <c r="BT109" s="82"/>
      <c r="BU109" s="82"/>
      <c r="BV109" s="91"/>
      <c r="BW109" s="91"/>
      <c r="BX109" s="91"/>
      <c r="BY109" s="91"/>
      <c r="BZ109" s="82"/>
      <c r="CA109" s="82"/>
      <c r="CB109" s="82"/>
      <c r="CC109" s="82"/>
      <c r="CD109" s="91"/>
      <c r="CE109" s="91"/>
      <c r="CF109" s="91"/>
      <c r="CG109" s="91"/>
      <c r="CH109" s="82"/>
      <c r="CI109" s="82"/>
      <c r="CJ109" s="82"/>
      <c r="CK109" s="82"/>
      <c r="CL109" s="91"/>
      <c r="CM109" s="91"/>
      <c r="CN109" s="91"/>
      <c r="CO109" s="91"/>
      <c r="CP109" s="82"/>
      <c r="CQ109" s="82"/>
      <c r="CR109" s="82"/>
      <c r="CS109" s="82"/>
      <c r="CT109" s="91"/>
      <c r="CU109" s="91"/>
      <c r="CV109" s="91"/>
      <c r="CW109" s="91"/>
      <c r="CX109" s="82"/>
      <c r="CY109" s="82"/>
      <c r="CZ109" s="82"/>
      <c r="DA109" s="82"/>
      <c r="DB109" s="91">
        <v>67881.281363636357</v>
      </c>
      <c r="DC109" s="82">
        <v>271525.12545454543</v>
      </c>
      <c r="DD109" s="91"/>
      <c r="DE109" s="101"/>
    </row>
    <row r="110" spans="1:109" x14ac:dyDescent="0.2">
      <c r="A110" s="14">
        <v>102</v>
      </c>
      <c r="B110" s="28" t="s">
        <v>112</v>
      </c>
      <c r="C110" s="14" t="s">
        <v>806</v>
      </c>
      <c r="D110" s="22"/>
      <c r="E110" s="24"/>
      <c r="F110" s="82" t="s">
        <v>938</v>
      </c>
      <c r="G110" s="82" t="s">
        <v>659</v>
      </c>
      <c r="H110" s="82">
        <v>1</v>
      </c>
      <c r="I110" s="82">
        <v>99481.188181818186</v>
      </c>
      <c r="J110" s="91"/>
      <c r="K110" s="91"/>
      <c r="L110" s="91"/>
      <c r="M110" s="91"/>
      <c r="N110" s="82"/>
      <c r="O110" s="82"/>
      <c r="P110" s="82"/>
      <c r="Q110" s="82"/>
      <c r="R110" s="91"/>
      <c r="S110" s="91"/>
      <c r="T110" s="91"/>
      <c r="U110" s="91"/>
      <c r="V110" s="82"/>
      <c r="W110" s="82"/>
      <c r="X110" s="82"/>
      <c r="Y110" s="82"/>
      <c r="Z110" s="91"/>
      <c r="AA110" s="91"/>
      <c r="AB110" s="91"/>
      <c r="AC110" s="91"/>
      <c r="AD110" s="82"/>
      <c r="AE110" s="82"/>
      <c r="AF110" s="82"/>
      <c r="AG110" s="82"/>
      <c r="AH110" s="91"/>
      <c r="AI110" s="91"/>
      <c r="AJ110" s="91"/>
      <c r="AK110" s="91"/>
      <c r="AL110" s="82"/>
      <c r="AM110" s="82"/>
      <c r="AN110" s="82"/>
      <c r="AO110" s="82"/>
      <c r="AP110" s="91"/>
      <c r="AQ110" s="91"/>
      <c r="AR110" s="91"/>
      <c r="AS110" s="91"/>
      <c r="AT110" s="82"/>
      <c r="AU110" s="82"/>
      <c r="AV110" s="82"/>
      <c r="AW110" s="82"/>
      <c r="AX110" s="91"/>
      <c r="AY110" s="91"/>
      <c r="AZ110" s="91"/>
      <c r="BA110" s="91"/>
      <c r="BB110" s="82"/>
      <c r="BC110" s="82"/>
      <c r="BD110" s="82"/>
      <c r="BE110" s="82"/>
      <c r="BF110" s="91"/>
      <c r="BG110" s="91"/>
      <c r="BH110" s="91"/>
      <c r="BI110" s="91"/>
      <c r="BJ110" s="82"/>
      <c r="BK110" s="82"/>
      <c r="BL110" s="82"/>
      <c r="BM110" s="82"/>
      <c r="BN110" s="91"/>
      <c r="BO110" s="91"/>
      <c r="BP110" s="91"/>
      <c r="BQ110" s="91"/>
      <c r="BR110" s="82"/>
      <c r="BS110" s="82"/>
      <c r="BT110" s="82"/>
      <c r="BU110" s="82"/>
      <c r="BV110" s="91"/>
      <c r="BW110" s="91"/>
      <c r="BX110" s="91"/>
      <c r="BY110" s="91"/>
      <c r="BZ110" s="82"/>
      <c r="CA110" s="82"/>
      <c r="CB110" s="82"/>
      <c r="CC110" s="82"/>
      <c r="CD110" s="91"/>
      <c r="CE110" s="91"/>
      <c r="CF110" s="91"/>
      <c r="CG110" s="91"/>
      <c r="CH110" s="82"/>
      <c r="CI110" s="82"/>
      <c r="CJ110" s="82"/>
      <c r="CK110" s="82"/>
      <c r="CL110" s="91"/>
      <c r="CM110" s="91"/>
      <c r="CN110" s="91"/>
      <c r="CO110" s="91"/>
      <c r="CP110" s="82"/>
      <c r="CQ110" s="82"/>
      <c r="CR110" s="82"/>
      <c r="CS110" s="82"/>
      <c r="CT110" s="91"/>
      <c r="CU110" s="91"/>
      <c r="CV110" s="91"/>
      <c r="CW110" s="91"/>
      <c r="CX110" s="82"/>
      <c r="CY110" s="82"/>
      <c r="CZ110" s="82"/>
      <c r="DA110" s="82"/>
      <c r="DB110" s="91">
        <v>99481.188181818186</v>
      </c>
      <c r="DC110" s="82">
        <v>99481.188181818186</v>
      </c>
      <c r="DD110" s="91"/>
      <c r="DE110" s="101"/>
    </row>
    <row r="111" spans="1:109" x14ac:dyDescent="0.2">
      <c r="A111" s="14">
        <v>103</v>
      </c>
      <c r="B111" s="28" t="s">
        <v>114</v>
      </c>
      <c r="C111" s="14" t="s">
        <v>729</v>
      </c>
      <c r="D111" s="22"/>
      <c r="E111" s="24"/>
      <c r="F111" s="82"/>
      <c r="G111" s="82"/>
      <c r="H111" s="82"/>
      <c r="I111" s="82"/>
      <c r="J111" s="91"/>
      <c r="K111" s="91"/>
      <c r="L111" s="91"/>
      <c r="M111" s="91"/>
      <c r="N111" s="98"/>
      <c r="O111" s="82"/>
      <c r="P111" s="82"/>
      <c r="Q111" s="82"/>
      <c r="R111" s="91"/>
      <c r="S111" s="91"/>
      <c r="T111" s="91"/>
      <c r="U111" s="91"/>
      <c r="V111" s="82"/>
      <c r="W111" s="82"/>
      <c r="X111" s="82"/>
      <c r="Y111" s="82"/>
      <c r="Z111" s="91"/>
      <c r="AA111" s="91"/>
      <c r="AB111" s="91"/>
      <c r="AC111" s="91"/>
      <c r="AD111" s="82"/>
      <c r="AE111" s="82"/>
      <c r="AF111" s="82"/>
      <c r="AG111" s="82"/>
      <c r="AH111" s="91"/>
      <c r="AI111" s="91"/>
      <c r="AJ111" s="91"/>
      <c r="AK111" s="91"/>
      <c r="AL111" s="82"/>
      <c r="AM111" s="82"/>
      <c r="AN111" s="82"/>
      <c r="AO111" s="82"/>
      <c r="AP111" s="91"/>
      <c r="AQ111" s="91"/>
      <c r="AR111" s="91"/>
      <c r="AS111" s="91"/>
      <c r="AT111" s="82"/>
      <c r="AU111" s="82"/>
      <c r="AV111" s="82"/>
      <c r="AW111" s="82"/>
      <c r="AX111" s="91"/>
      <c r="AY111" s="91"/>
      <c r="AZ111" s="91"/>
      <c r="BA111" s="91"/>
      <c r="BB111" s="82"/>
      <c r="BC111" s="82"/>
      <c r="BD111" s="82"/>
      <c r="BE111" s="82"/>
      <c r="BF111" s="91"/>
      <c r="BG111" s="91"/>
      <c r="BH111" s="91"/>
      <c r="BI111" s="91"/>
      <c r="BJ111" s="82"/>
      <c r="BK111" s="82"/>
      <c r="BL111" s="82"/>
      <c r="BM111" s="82"/>
      <c r="BN111" s="91"/>
      <c r="BO111" s="91"/>
      <c r="BP111" s="91"/>
      <c r="BQ111" s="91"/>
      <c r="BR111" s="82"/>
      <c r="BS111" s="82"/>
      <c r="BT111" s="82"/>
      <c r="BU111" s="82"/>
      <c r="BV111" s="91"/>
      <c r="BW111" s="91"/>
      <c r="BX111" s="91"/>
      <c r="BY111" s="91"/>
      <c r="BZ111" s="82"/>
      <c r="CA111" s="82"/>
      <c r="CB111" s="82"/>
      <c r="CC111" s="82"/>
      <c r="CD111" s="91"/>
      <c r="CE111" s="91"/>
      <c r="CF111" s="91"/>
      <c r="CG111" s="91"/>
      <c r="CH111" s="82"/>
      <c r="CI111" s="82"/>
      <c r="CJ111" s="82"/>
      <c r="CK111" s="82"/>
      <c r="CL111" s="91"/>
      <c r="CM111" s="91"/>
      <c r="CN111" s="91"/>
      <c r="CO111" s="91"/>
      <c r="CP111" s="82"/>
      <c r="CQ111" s="82"/>
      <c r="CR111" s="82"/>
      <c r="CS111" s="82"/>
      <c r="CT111" s="91"/>
      <c r="CU111" s="91"/>
      <c r="CV111" s="91"/>
      <c r="CW111" s="91"/>
      <c r="CX111" s="82"/>
      <c r="CY111" s="82"/>
      <c r="CZ111" s="82"/>
      <c r="DA111" s="82"/>
      <c r="DB111" s="91"/>
      <c r="DC111" s="82"/>
      <c r="DD111" s="91"/>
      <c r="DE111" s="101"/>
    </row>
    <row r="112" spans="1:109" x14ac:dyDescent="0.2">
      <c r="A112" s="14">
        <v>104</v>
      </c>
      <c r="B112" s="28" t="s">
        <v>116</v>
      </c>
      <c r="C112" s="14" t="s">
        <v>730</v>
      </c>
      <c r="D112" s="22"/>
      <c r="E112" s="24"/>
      <c r="F112" s="82"/>
      <c r="G112" s="82"/>
      <c r="H112" s="82"/>
      <c r="I112" s="82"/>
      <c r="J112" s="91"/>
      <c r="K112" s="91"/>
      <c r="L112" s="91"/>
      <c r="M112" s="91"/>
      <c r="N112" s="82"/>
      <c r="O112" s="82"/>
      <c r="P112" s="82"/>
      <c r="Q112" s="82"/>
      <c r="R112" s="91"/>
      <c r="S112" s="91"/>
      <c r="T112" s="91"/>
      <c r="U112" s="91"/>
      <c r="V112" s="82"/>
      <c r="W112" s="82"/>
      <c r="X112" s="82"/>
      <c r="Y112" s="82"/>
      <c r="Z112" s="91"/>
      <c r="AA112" s="91"/>
      <c r="AB112" s="91"/>
      <c r="AC112" s="91"/>
      <c r="AD112" s="82"/>
      <c r="AE112" s="82"/>
      <c r="AF112" s="82"/>
      <c r="AG112" s="82"/>
      <c r="AH112" s="91"/>
      <c r="AI112" s="91"/>
      <c r="AJ112" s="91"/>
      <c r="AK112" s="91"/>
      <c r="AL112" s="82"/>
      <c r="AM112" s="82"/>
      <c r="AN112" s="82"/>
      <c r="AO112" s="82"/>
      <c r="AP112" s="91"/>
      <c r="AQ112" s="91"/>
      <c r="AR112" s="91"/>
      <c r="AS112" s="91"/>
      <c r="AT112" s="82"/>
      <c r="AU112" s="82"/>
      <c r="AV112" s="82"/>
      <c r="AW112" s="82"/>
      <c r="AX112" s="91"/>
      <c r="AY112" s="91"/>
      <c r="AZ112" s="91"/>
      <c r="BA112" s="91"/>
      <c r="BB112" s="82"/>
      <c r="BC112" s="82"/>
      <c r="BD112" s="82"/>
      <c r="BE112" s="82"/>
      <c r="BF112" s="91"/>
      <c r="BG112" s="91"/>
      <c r="BH112" s="91"/>
      <c r="BI112" s="91"/>
      <c r="BJ112" s="82"/>
      <c r="BK112" s="82"/>
      <c r="BL112" s="82"/>
      <c r="BM112" s="82"/>
      <c r="BN112" s="91"/>
      <c r="BO112" s="91"/>
      <c r="BP112" s="91"/>
      <c r="BQ112" s="91"/>
      <c r="BR112" s="82"/>
      <c r="BS112" s="82"/>
      <c r="BT112" s="82"/>
      <c r="BU112" s="82"/>
      <c r="BV112" s="91"/>
      <c r="BW112" s="91"/>
      <c r="BX112" s="91"/>
      <c r="BY112" s="91"/>
      <c r="BZ112" s="82"/>
      <c r="CA112" s="82"/>
      <c r="CB112" s="82"/>
      <c r="CC112" s="82"/>
      <c r="CD112" s="91"/>
      <c r="CE112" s="91"/>
      <c r="CF112" s="91"/>
      <c r="CG112" s="91"/>
      <c r="CH112" s="82"/>
      <c r="CI112" s="82"/>
      <c r="CJ112" s="82"/>
      <c r="CK112" s="82"/>
      <c r="CL112" s="91"/>
      <c r="CM112" s="91"/>
      <c r="CN112" s="91"/>
      <c r="CO112" s="91"/>
      <c r="CP112" s="82"/>
      <c r="CQ112" s="82"/>
      <c r="CR112" s="82"/>
      <c r="CS112" s="82"/>
      <c r="CT112" s="91"/>
      <c r="CU112" s="91"/>
      <c r="CV112" s="91"/>
      <c r="CW112" s="91"/>
      <c r="CX112" s="82"/>
      <c r="CY112" s="82"/>
      <c r="CZ112" s="82"/>
      <c r="DA112" s="82"/>
      <c r="DB112" s="91"/>
      <c r="DC112" s="82"/>
      <c r="DD112" s="91"/>
      <c r="DE112" s="101"/>
    </row>
    <row r="113" spans="1:109" x14ac:dyDescent="0.2">
      <c r="A113" s="14">
        <v>105</v>
      </c>
      <c r="B113" s="28" t="s">
        <v>118</v>
      </c>
      <c r="C113" s="14" t="s">
        <v>731</v>
      </c>
      <c r="D113" s="22"/>
      <c r="E113" s="24"/>
      <c r="F113" s="82" t="s">
        <v>950</v>
      </c>
      <c r="G113" s="82" t="s">
        <v>662</v>
      </c>
      <c r="H113" s="82">
        <v>0.47</v>
      </c>
      <c r="I113" s="82">
        <v>46756.158445454545</v>
      </c>
      <c r="J113" s="91" t="s">
        <v>900</v>
      </c>
      <c r="K113" s="91" t="s">
        <v>662</v>
      </c>
      <c r="L113" s="91">
        <v>0.25</v>
      </c>
      <c r="M113" s="91">
        <v>24870.29704545455</v>
      </c>
      <c r="N113" s="82"/>
      <c r="O113" s="82"/>
      <c r="P113" s="82"/>
      <c r="Q113" s="82"/>
      <c r="R113" s="91"/>
      <c r="S113" s="91"/>
      <c r="T113" s="91"/>
      <c r="U113" s="91"/>
      <c r="V113" s="82"/>
      <c r="W113" s="82"/>
      <c r="X113" s="82"/>
      <c r="Y113" s="82"/>
      <c r="Z113" s="91"/>
      <c r="AA113" s="91"/>
      <c r="AB113" s="91"/>
      <c r="AC113" s="91"/>
      <c r="AD113" s="82"/>
      <c r="AE113" s="82"/>
      <c r="AF113" s="82"/>
      <c r="AG113" s="82"/>
      <c r="AH113" s="91"/>
      <c r="AI113" s="91"/>
      <c r="AJ113" s="91"/>
      <c r="AK113" s="91"/>
      <c r="AL113" s="82"/>
      <c r="AM113" s="82"/>
      <c r="AN113" s="82"/>
      <c r="AO113" s="82"/>
      <c r="AP113" s="91"/>
      <c r="AQ113" s="91"/>
      <c r="AR113" s="91"/>
      <c r="AS113" s="91"/>
      <c r="AT113" s="82"/>
      <c r="AU113" s="82"/>
      <c r="AV113" s="82"/>
      <c r="AW113" s="82"/>
      <c r="AX113" s="91"/>
      <c r="AY113" s="91"/>
      <c r="AZ113" s="91"/>
      <c r="BA113" s="91"/>
      <c r="BB113" s="82"/>
      <c r="BC113" s="82"/>
      <c r="BD113" s="82"/>
      <c r="BE113" s="82"/>
      <c r="BF113" s="91"/>
      <c r="BG113" s="91"/>
      <c r="BH113" s="91"/>
      <c r="BI113" s="91"/>
      <c r="BJ113" s="82"/>
      <c r="BK113" s="82"/>
      <c r="BL113" s="82"/>
      <c r="BM113" s="82"/>
      <c r="BN113" s="91"/>
      <c r="BO113" s="91"/>
      <c r="BP113" s="91"/>
      <c r="BQ113" s="91"/>
      <c r="BR113" s="82"/>
      <c r="BS113" s="82"/>
      <c r="BT113" s="82"/>
      <c r="BU113" s="82"/>
      <c r="BV113" s="91"/>
      <c r="BW113" s="91"/>
      <c r="BX113" s="91"/>
      <c r="BY113" s="91"/>
      <c r="BZ113" s="82"/>
      <c r="CA113" s="82"/>
      <c r="CB113" s="82"/>
      <c r="CC113" s="82"/>
      <c r="CD113" s="91"/>
      <c r="CE113" s="91"/>
      <c r="CF113" s="91"/>
      <c r="CG113" s="91"/>
      <c r="CH113" s="82"/>
      <c r="CI113" s="82"/>
      <c r="CJ113" s="82"/>
      <c r="CK113" s="82"/>
      <c r="CL113" s="91"/>
      <c r="CM113" s="91"/>
      <c r="CN113" s="91"/>
      <c r="CO113" s="91"/>
      <c r="CP113" s="82"/>
      <c r="CQ113" s="82"/>
      <c r="CR113" s="82"/>
      <c r="CS113" s="82"/>
      <c r="CT113" s="91"/>
      <c r="CU113" s="91"/>
      <c r="CV113" s="91"/>
      <c r="CW113" s="91"/>
      <c r="CX113" s="82"/>
      <c r="CY113" s="82"/>
      <c r="CZ113" s="82"/>
      <c r="DA113" s="82"/>
      <c r="DB113" s="91">
        <v>99481.188181818186</v>
      </c>
      <c r="DC113" s="82">
        <v>71626.455490909095</v>
      </c>
      <c r="DD113" s="91"/>
      <c r="DE113" s="101"/>
    </row>
    <row r="114" spans="1:109" x14ac:dyDescent="0.2">
      <c r="A114" s="14">
        <v>106</v>
      </c>
      <c r="B114" s="28" t="s">
        <v>120</v>
      </c>
      <c r="C114" s="14" t="s">
        <v>732</v>
      </c>
      <c r="D114" s="22"/>
      <c r="E114" s="24"/>
      <c r="F114" s="82"/>
      <c r="G114" s="82" t="s">
        <v>660</v>
      </c>
      <c r="H114" s="82"/>
      <c r="I114" s="82">
        <v>397894</v>
      </c>
      <c r="J114" s="91"/>
      <c r="K114" s="91"/>
      <c r="L114" s="91"/>
      <c r="M114" s="91"/>
      <c r="N114" s="82"/>
      <c r="O114" s="82"/>
      <c r="P114" s="82"/>
      <c r="Q114" s="82"/>
      <c r="R114" s="91"/>
      <c r="S114" s="91"/>
      <c r="T114" s="91"/>
      <c r="U114" s="91"/>
      <c r="V114" s="82"/>
      <c r="W114" s="82"/>
      <c r="X114" s="82"/>
      <c r="Y114" s="82"/>
      <c r="Z114" s="91"/>
      <c r="AA114" s="91"/>
      <c r="AB114" s="91"/>
      <c r="AC114" s="91"/>
      <c r="AD114" s="82"/>
      <c r="AE114" s="82"/>
      <c r="AF114" s="82"/>
      <c r="AG114" s="82"/>
      <c r="AH114" s="91"/>
      <c r="AI114" s="91"/>
      <c r="AJ114" s="91"/>
      <c r="AK114" s="91"/>
      <c r="AL114" s="82"/>
      <c r="AM114" s="82"/>
      <c r="AN114" s="82"/>
      <c r="AO114" s="82"/>
      <c r="AP114" s="91"/>
      <c r="AQ114" s="91"/>
      <c r="AR114" s="91"/>
      <c r="AS114" s="91"/>
      <c r="AT114" s="82"/>
      <c r="AU114" s="82"/>
      <c r="AV114" s="82"/>
      <c r="AW114" s="82"/>
      <c r="AX114" s="91"/>
      <c r="AY114" s="91"/>
      <c r="AZ114" s="91"/>
      <c r="BA114" s="91"/>
      <c r="BB114" s="82"/>
      <c r="BC114" s="82"/>
      <c r="BD114" s="82"/>
      <c r="BE114" s="82"/>
      <c r="BF114" s="91"/>
      <c r="BG114" s="91"/>
      <c r="BH114" s="91"/>
      <c r="BI114" s="91"/>
      <c r="BJ114" s="82"/>
      <c r="BK114" s="82"/>
      <c r="BL114" s="82"/>
      <c r="BM114" s="82"/>
      <c r="BN114" s="91"/>
      <c r="BO114" s="91"/>
      <c r="BP114" s="91"/>
      <c r="BQ114" s="91"/>
      <c r="BR114" s="82"/>
      <c r="BS114" s="82"/>
      <c r="BT114" s="82"/>
      <c r="BU114" s="82"/>
      <c r="BV114" s="91"/>
      <c r="BW114" s="91"/>
      <c r="BX114" s="91"/>
      <c r="BY114" s="91"/>
      <c r="BZ114" s="82"/>
      <c r="CA114" s="82"/>
      <c r="CB114" s="82"/>
      <c r="CC114" s="82"/>
      <c r="CD114" s="91"/>
      <c r="CE114" s="91"/>
      <c r="CF114" s="91"/>
      <c r="CG114" s="91"/>
      <c r="CH114" s="82"/>
      <c r="CI114" s="82"/>
      <c r="CJ114" s="82"/>
      <c r="CK114" s="82"/>
      <c r="CL114" s="91"/>
      <c r="CM114" s="91"/>
      <c r="CN114" s="91"/>
      <c r="CO114" s="91"/>
      <c r="CP114" s="82"/>
      <c r="CQ114" s="82"/>
      <c r="CR114" s="82"/>
      <c r="CS114" s="82"/>
      <c r="CT114" s="91"/>
      <c r="CU114" s="91"/>
      <c r="CV114" s="91"/>
      <c r="CW114" s="91"/>
      <c r="CX114" s="82"/>
      <c r="CY114" s="82"/>
      <c r="CZ114" s="82"/>
      <c r="DA114" s="82"/>
      <c r="DB114" s="91"/>
      <c r="DC114" s="82">
        <v>397894</v>
      </c>
      <c r="DD114" s="91"/>
      <c r="DE114" s="101"/>
    </row>
    <row r="115" spans="1:109" x14ac:dyDescent="0.2">
      <c r="A115" s="14">
        <v>107</v>
      </c>
      <c r="B115" s="28" t="s">
        <v>122</v>
      </c>
      <c r="C115" s="14" t="s">
        <v>733</v>
      </c>
      <c r="D115" s="22"/>
      <c r="E115" s="24"/>
      <c r="F115" s="82" t="s">
        <v>949</v>
      </c>
      <c r="G115" s="82" t="s">
        <v>657</v>
      </c>
      <c r="H115" s="82">
        <v>1</v>
      </c>
      <c r="I115" s="82">
        <v>76073.849545454548</v>
      </c>
      <c r="J115" s="91" t="s">
        <v>939</v>
      </c>
      <c r="K115" s="91" t="s">
        <v>657</v>
      </c>
      <c r="L115" s="91">
        <v>1</v>
      </c>
      <c r="M115" s="91">
        <v>76073.849545454548</v>
      </c>
      <c r="N115" s="82" t="s">
        <v>939</v>
      </c>
      <c r="O115" s="82" t="s">
        <v>662</v>
      </c>
      <c r="P115" s="82">
        <v>0.16374999999999984</v>
      </c>
      <c r="Q115" s="82">
        <v>12457.09286306817</v>
      </c>
      <c r="R115" s="91" t="s">
        <v>952</v>
      </c>
      <c r="S115" s="91" t="s">
        <v>662</v>
      </c>
      <c r="T115" s="91">
        <v>0.32374999999999998</v>
      </c>
      <c r="U115" s="91">
        <v>24628.908790340909</v>
      </c>
      <c r="V115" s="82" t="s">
        <v>953</v>
      </c>
      <c r="W115" s="82" t="s">
        <v>662</v>
      </c>
      <c r="X115" s="82">
        <v>0.14999999999999991</v>
      </c>
      <c r="Y115" s="82">
        <v>11411.077431818176</v>
      </c>
      <c r="Z115" s="91"/>
      <c r="AA115" s="91"/>
      <c r="AB115" s="91"/>
      <c r="AC115" s="91"/>
      <c r="AD115" s="82"/>
      <c r="AE115" s="82"/>
      <c r="AF115" s="82"/>
      <c r="AG115" s="82"/>
      <c r="AH115" s="91"/>
      <c r="AI115" s="91"/>
      <c r="AJ115" s="91"/>
      <c r="AK115" s="91"/>
      <c r="AL115" s="82"/>
      <c r="AM115" s="82"/>
      <c r="AN115" s="82"/>
      <c r="AO115" s="82"/>
      <c r="AP115" s="91"/>
      <c r="AQ115" s="91"/>
      <c r="AR115" s="91"/>
      <c r="AS115" s="91"/>
      <c r="AT115" s="82"/>
      <c r="AU115" s="82"/>
      <c r="AV115" s="82"/>
      <c r="AW115" s="82"/>
      <c r="AX115" s="91"/>
      <c r="AY115" s="91"/>
      <c r="AZ115" s="91"/>
      <c r="BA115" s="91"/>
      <c r="BB115" s="82"/>
      <c r="BC115" s="82"/>
      <c r="BD115" s="82"/>
      <c r="BE115" s="82"/>
      <c r="BF115" s="91"/>
      <c r="BG115" s="91"/>
      <c r="BH115" s="91"/>
      <c r="BI115" s="91"/>
      <c r="BJ115" s="82"/>
      <c r="BK115" s="82"/>
      <c r="BL115" s="82"/>
      <c r="BM115" s="82"/>
      <c r="BN115" s="91"/>
      <c r="BO115" s="91"/>
      <c r="BP115" s="91"/>
      <c r="BQ115" s="91"/>
      <c r="BR115" s="82"/>
      <c r="BS115" s="82"/>
      <c r="BT115" s="82"/>
      <c r="BU115" s="82"/>
      <c r="BV115" s="91"/>
      <c r="BW115" s="91"/>
      <c r="BX115" s="91"/>
      <c r="BY115" s="91"/>
      <c r="BZ115" s="82"/>
      <c r="CA115" s="82"/>
      <c r="CB115" s="82"/>
      <c r="CC115" s="82"/>
      <c r="CD115" s="91"/>
      <c r="CE115" s="91"/>
      <c r="CF115" s="91"/>
      <c r="CG115" s="91"/>
      <c r="CH115" s="82"/>
      <c r="CI115" s="82"/>
      <c r="CJ115" s="82"/>
      <c r="CK115" s="82"/>
      <c r="CL115" s="91"/>
      <c r="CM115" s="91"/>
      <c r="CN115" s="91"/>
      <c r="CO115" s="91"/>
      <c r="CP115" s="82"/>
      <c r="CQ115" s="82"/>
      <c r="CR115" s="82"/>
      <c r="CS115" s="82"/>
      <c r="CT115" s="91"/>
      <c r="CU115" s="91"/>
      <c r="CV115" s="91"/>
      <c r="CW115" s="91"/>
      <c r="CX115" s="82"/>
      <c r="CY115" s="82"/>
      <c r="CZ115" s="82"/>
      <c r="DA115" s="82"/>
      <c r="DB115" s="91">
        <v>76073.849545454548</v>
      </c>
      <c r="DC115" s="82">
        <v>200644.77817613634</v>
      </c>
      <c r="DD115" s="91"/>
      <c r="DE115" s="101"/>
    </row>
    <row r="116" spans="1:109" x14ac:dyDescent="0.2">
      <c r="A116" s="14">
        <v>108</v>
      </c>
      <c r="B116" s="28" t="s">
        <v>124</v>
      </c>
      <c r="C116" s="14" t="s">
        <v>734</v>
      </c>
      <c r="D116" s="22"/>
      <c r="E116" s="24"/>
      <c r="F116" s="82"/>
      <c r="G116" s="82" t="s">
        <v>660</v>
      </c>
      <c r="H116" s="82"/>
      <c r="I116" s="82">
        <v>568420</v>
      </c>
      <c r="J116" s="93"/>
      <c r="K116" s="94"/>
      <c r="L116" s="94"/>
      <c r="M116" s="117"/>
      <c r="N116" s="82"/>
      <c r="O116" s="82"/>
      <c r="P116" s="82"/>
      <c r="Q116" s="82"/>
      <c r="R116" s="91"/>
      <c r="S116" s="91"/>
      <c r="T116" s="91"/>
      <c r="U116" s="91"/>
      <c r="V116" s="82"/>
      <c r="W116" s="82"/>
      <c r="X116" s="82"/>
      <c r="Y116" s="82"/>
      <c r="Z116" s="91"/>
      <c r="AA116" s="91"/>
      <c r="AB116" s="91"/>
      <c r="AC116" s="91"/>
      <c r="AD116" s="82"/>
      <c r="AE116" s="82"/>
      <c r="AF116" s="82"/>
      <c r="AG116" s="82"/>
      <c r="AH116" s="91"/>
      <c r="AI116" s="91"/>
      <c r="AJ116" s="91"/>
      <c r="AK116" s="91"/>
      <c r="AL116" s="82"/>
      <c r="AM116" s="82"/>
      <c r="AN116" s="82"/>
      <c r="AO116" s="82"/>
      <c r="AP116" s="91"/>
      <c r="AQ116" s="91"/>
      <c r="AR116" s="91"/>
      <c r="AS116" s="91"/>
      <c r="AT116" s="82"/>
      <c r="AU116" s="82"/>
      <c r="AV116" s="82"/>
      <c r="AW116" s="82"/>
      <c r="AX116" s="91"/>
      <c r="AY116" s="91"/>
      <c r="AZ116" s="91"/>
      <c r="BA116" s="91"/>
      <c r="BB116" s="82"/>
      <c r="BC116" s="82"/>
      <c r="BD116" s="82"/>
      <c r="BE116" s="82"/>
      <c r="BF116" s="91"/>
      <c r="BG116" s="91"/>
      <c r="BH116" s="91"/>
      <c r="BI116" s="91"/>
      <c r="BJ116" s="82"/>
      <c r="BK116" s="82"/>
      <c r="BL116" s="82"/>
      <c r="BM116" s="82"/>
      <c r="BN116" s="91"/>
      <c r="BO116" s="91"/>
      <c r="BP116" s="91"/>
      <c r="BQ116" s="91"/>
      <c r="BR116" s="82"/>
      <c r="BS116" s="82"/>
      <c r="BT116" s="82"/>
      <c r="BU116" s="82"/>
      <c r="BV116" s="91"/>
      <c r="BW116" s="91"/>
      <c r="BX116" s="91"/>
      <c r="BY116" s="91"/>
      <c r="BZ116" s="82"/>
      <c r="CA116" s="82"/>
      <c r="CB116" s="82"/>
      <c r="CC116" s="82"/>
      <c r="CD116" s="91"/>
      <c r="CE116" s="91"/>
      <c r="CF116" s="91"/>
      <c r="CG116" s="91"/>
      <c r="CH116" s="82"/>
      <c r="CI116" s="82"/>
      <c r="CJ116" s="82"/>
      <c r="CK116" s="82"/>
      <c r="CL116" s="91"/>
      <c r="CM116" s="91"/>
      <c r="CN116" s="91"/>
      <c r="CO116" s="91"/>
      <c r="CP116" s="82"/>
      <c r="CQ116" s="82"/>
      <c r="CR116" s="82"/>
      <c r="CS116" s="82"/>
      <c r="CT116" s="91"/>
      <c r="CU116" s="91"/>
      <c r="CV116" s="91"/>
      <c r="CW116" s="91"/>
      <c r="CX116" s="82"/>
      <c r="CY116" s="82"/>
      <c r="CZ116" s="82"/>
      <c r="DA116" s="82"/>
      <c r="DB116" s="91"/>
      <c r="DC116" s="82">
        <v>568420</v>
      </c>
      <c r="DD116" s="91"/>
      <c r="DE116" s="101"/>
    </row>
    <row r="117" spans="1:109" x14ac:dyDescent="0.2">
      <c r="A117" s="14">
        <v>109</v>
      </c>
      <c r="B117" s="28" t="s">
        <v>125</v>
      </c>
      <c r="C117" s="14" t="s">
        <v>735</v>
      </c>
      <c r="D117" s="22"/>
      <c r="E117" s="24"/>
      <c r="F117" s="82" t="s">
        <v>944</v>
      </c>
      <c r="G117" s="82" t="s">
        <v>658</v>
      </c>
      <c r="H117" s="82">
        <v>1</v>
      </c>
      <c r="I117" s="82">
        <v>76073.849545454548</v>
      </c>
      <c r="J117" s="91"/>
      <c r="K117" s="91"/>
      <c r="L117" s="91"/>
      <c r="M117" s="91"/>
      <c r="N117" s="82"/>
      <c r="O117" s="82"/>
      <c r="P117" s="82"/>
      <c r="Q117" s="82"/>
      <c r="R117" s="91"/>
      <c r="S117" s="91"/>
      <c r="T117" s="91"/>
      <c r="U117" s="91"/>
      <c r="V117" s="82"/>
      <c r="W117" s="82"/>
      <c r="X117" s="82"/>
      <c r="Y117" s="82"/>
      <c r="Z117" s="91"/>
      <c r="AA117" s="91"/>
      <c r="AB117" s="91"/>
      <c r="AC117" s="91"/>
      <c r="AD117" s="82"/>
      <c r="AE117" s="82"/>
      <c r="AF117" s="82"/>
      <c r="AG117" s="82"/>
      <c r="AH117" s="91"/>
      <c r="AI117" s="91"/>
      <c r="AJ117" s="91"/>
      <c r="AK117" s="91"/>
      <c r="AL117" s="82"/>
      <c r="AM117" s="82"/>
      <c r="AN117" s="82"/>
      <c r="AO117" s="82"/>
      <c r="AP117" s="91"/>
      <c r="AQ117" s="91"/>
      <c r="AR117" s="91"/>
      <c r="AS117" s="91"/>
      <c r="AT117" s="82"/>
      <c r="AU117" s="82"/>
      <c r="AV117" s="82"/>
      <c r="AW117" s="82"/>
      <c r="AX117" s="91"/>
      <c r="AY117" s="91"/>
      <c r="AZ117" s="91"/>
      <c r="BA117" s="91"/>
      <c r="BB117" s="82"/>
      <c r="BC117" s="82"/>
      <c r="BD117" s="82"/>
      <c r="BE117" s="82"/>
      <c r="BF117" s="91"/>
      <c r="BG117" s="91"/>
      <c r="BH117" s="91"/>
      <c r="BI117" s="91"/>
      <c r="BJ117" s="82"/>
      <c r="BK117" s="82"/>
      <c r="BL117" s="82"/>
      <c r="BM117" s="82"/>
      <c r="BN117" s="91"/>
      <c r="BO117" s="91"/>
      <c r="BP117" s="91"/>
      <c r="BQ117" s="91"/>
      <c r="BR117" s="82"/>
      <c r="BS117" s="82"/>
      <c r="BT117" s="82"/>
      <c r="BU117" s="82"/>
      <c r="BV117" s="91"/>
      <c r="BW117" s="91"/>
      <c r="BX117" s="91"/>
      <c r="BY117" s="91"/>
      <c r="BZ117" s="82"/>
      <c r="CA117" s="82"/>
      <c r="CB117" s="82"/>
      <c r="CC117" s="82"/>
      <c r="CD117" s="91"/>
      <c r="CE117" s="91"/>
      <c r="CF117" s="91"/>
      <c r="CG117" s="91"/>
      <c r="CH117" s="82"/>
      <c r="CI117" s="82"/>
      <c r="CJ117" s="82"/>
      <c r="CK117" s="82"/>
      <c r="CL117" s="91"/>
      <c r="CM117" s="91"/>
      <c r="CN117" s="91"/>
      <c r="CO117" s="91"/>
      <c r="CP117" s="82"/>
      <c r="CQ117" s="82"/>
      <c r="CR117" s="82"/>
      <c r="CS117" s="82"/>
      <c r="CT117" s="91"/>
      <c r="CU117" s="91"/>
      <c r="CV117" s="91"/>
      <c r="CW117" s="91"/>
      <c r="CX117" s="82"/>
      <c r="CY117" s="82"/>
      <c r="CZ117" s="82"/>
      <c r="DA117" s="82"/>
      <c r="DB117" s="91">
        <v>76073.849545454548</v>
      </c>
      <c r="DC117" s="82">
        <v>76073.849545454548</v>
      </c>
      <c r="DD117" s="91"/>
      <c r="DE117" s="101"/>
    </row>
    <row r="118" spans="1:109" x14ac:dyDescent="0.2">
      <c r="A118" s="14">
        <v>110</v>
      </c>
      <c r="B118" s="28" t="s">
        <v>129</v>
      </c>
      <c r="C118" s="14" t="s">
        <v>736</v>
      </c>
      <c r="D118" s="22"/>
      <c r="E118" s="24"/>
      <c r="F118" s="82" t="s">
        <v>943</v>
      </c>
      <c r="G118" s="82" t="s">
        <v>658</v>
      </c>
      <c r="H118" s="82">
        <v>1</v>
      </c>
      <c r="I118" s="82">
        <v>93629.353636363638</v>
      </c>
      <c r="J118" s="91"/>
      <c r="K118" s="91"/>
      <c r="L118" s="91"/>
      <c r="M118" s="91"/>
      <c r="N118" s="82"/>
      <c r="O118" s="82"/>
      <c r="P118" s="82"/>
      <c r="Q118" s="82"/>
      <c r="R118" s="91"/>
      <c r="S118" s="91"/>
      <c r="T118" s="91"/>
      <c r="U118" s="91"/>
      <c r="V118" s="82"/>
      <c r="W118" s="82"/>
      <c r="X118" s="82"/>
      <c r="Y118" s="82"/>
      <c r="Z118" s="91"/>
      <c r="AA118" s="91"/>
      <c r="AB118" s="91"/>
      <c r="AC118" s="91"/>
      <c r="AD118" s="82"/>
      <c r="AE118" s="82"/>
      <c r="AF118" s="82"/>
      <c r="AG118" s="82"/>
      <c r="AH118" s="91"/>
      <c r="AI118" s="91"/>
      <c r="AJ118" s="91"/>
      <c r="AK118" s="91"/>
      <c r="AL118" s="82"/>
      <c r="AM118" s="82"/>
      <c r="AN118" s="82"/>
      <c r="AO118" s="82"/>
      <c r="AP118" s="91"/>
      <c r="AQ118" s="91"/>
      <c r="AR118" s="91"/>
      <c r="AS118" s="91"/>
      <c r="AT118" s="82"/>
      <c r="AU118" s="82"/>
      <c r="AV118" s="82"/>
      <c r="AW118" s="82"/>
      <c r="AX118" s="91"/>
      <c r="AY118" s="91"/>
      <c r="AZ118" s="91"/>
      <c r="BA118" s="91"/>
      <c r="BB118" s="82"/>
      <c r="BC118" s="82"/>
      <c r="BD118" s="82"/>
      <c r="BE118" s="82"/>
      <c r="BF118" s="91"/>
      <c r="BG118" s="91"/>
      <c r="BH118" s="91"/>
      <c r="BI118" s="91"/>
      <c r="BJ118" s="82"/>
      <c r="BK118" s="82"/>
      <c r="BL118" s="82"/>
      <c r="BM118" s="82"/>
      <c r="BN118" s="91"/>
      <c r="BO118" s="91"/>
      <c r="BP118" s="91"/>
      <c r="BQ118" s="91"/>
      <c r="BR118" s="82"/>
      <c r="BS118" s="82"/>
      <c r="BT118" s="82"/>
      <c r="BU118" s="82"/>
      <c r="BV118" s="91"/>
      <c r="BW118" s="91"/>
      <c r="BX118" s="91"/>
      <c r="BY118" s="91"/>
      <c r="BZ118" s="82"/>
      <c r="CA118" s="82"/>
      <c r="CB118" s="82"/>
      <c r="CC118" s="82"/>
      <c r="CD118" s="91"/>
      <c r="CE118" s="91"/>
      <c r="CF118" s="91"/>
      <c r="CG118" s="91"/>
      <c r="CH118" s="82"/>
      <c r="CI118" s="82"/>
      <c r="CJ118" s="82"/>
      <c r="CK118" s="82"/>
      <c r="CL118" s="91"/>
      <c r="CM118" s="91"/>
      <c r="CN118" s="91"/>
      <c r="CO118" s="91"/>
      <c r="CP118" s="82"/>
      <c r="CQ118" s="82"/>
      <c r="CR118" s="82"/>
      <c r="CS118" s="82"/>
      <c r="CT118" s="91"/>
      <c r="CU118" s="91"/>
      <c r="CV118" s="91"/>
      <c r="CW118" s="91"/>
      <c r="CX118" s="82"/>
      <c r="CY118" s="82"/>
      <c r="CZ118" s="82"/>
      <c r="DA118" s="82"/>
      <c r="DB118" s="91">
        <v>93629.353636363638</v>
      </c>
      <c r="DC118" s="82">
        <v>93629.353636363638</v>
      </c>
      <c r="DD118" s="91"/>
      <c r="DE118" s="101"/>
    </row>
    <row r="119" spans="1:109" x14ac:dyDescent="0.2">
      <c r="A119" s="14">
        <v>111</v>
      </c>
      <c r="B119" s="28" t="s">
        <v>131</v>
      </c>
      <c r="C119" s="14" t="s">
        <v>737</v>
      </c>
      <c r="D119" s="22"/>
      <c r="E119" s="24"/>
      <c r="F119" s="82"/>
      <c r="G119" s="82"/>
      <c r="H119" s="82"/>
      <c r="I119" s="82"/>
      <c r="J119" s="91"/>
      <c r="K119" s="91"/>
      <c r="L119" s="91"/>
      <c r="M119" s="91"/>
      <c r="N119" s="82"/>
      <c r="O119" s="82"/>
      <c r="P119" s="82"/>
      <c r="Q119" s="82"/>
      <c r="R119" s="91"/>
      <c r="S119" s="91"/>
      <c r="T119" s="91"/>
      <c r="U119" s="91"/>
      <c r="V119" s="82"/>
      <c r="W119" s="82"/>
      <c r="X119" s="82"/>
      <c r="Y119" s="82"/>
      <c r="Z119" s="91"/>
      <c r="AA119" s="91"/>
      <c r="AB119" s="91"/>
      <c r="AC119" s="91"/>
      <c r="AD119" s="82"/>
      <c r="AE119" s="82"/>
      <c r="AF119" s="82"/>
      <c r="AG119" s="82"/>
      <c r="AH119" s="91"/>
      <c r="AI119" s="91"/>
      <c r="AJ119" s="91"/>
      <c r="AK119" s="91"/>
      <c r="AL119" s="82"/>
      <c r="AM119" s="82"/>
      <c r="AN119" s="82"/>
      <c r="AO119" s="82"/>
      <c r="AP119" s="91"/>
      <c r="AQ119" s="91"/>
      <c r="AR119" s="91"/>
      <c r="AS119" s="91"/>
      <c r="AT119" s="82"/>
      <c r="AU119" s="82"/>
      <c r="AV119" s="82"/>
      <c r="AW119" s="82"/>
      <c r="AX119" s="91"/>
      <c r="AY119" s="91"/>
      <c r="AZ119" s="91"/>
      <c r="BA119" s="91"/>
      <c r="BB119" s="82"/>
      <c r="BC119" s="82"/>
      <c r="BD119" s="82"/>
      <c r="BE119" s="82"/>
      <c r="BF119" s="91"/>
      <c r="BG119" s="91"/>
      <c r="BH119" s="91"/>
      <c r="BI119" s="91"/>
      <c r="BJ119" s="82"/>
      <c r="BK119" s="82"/>
      <c r="BL119" s="82"/>
      <c r="BM119" s="82"/>
      <c r="BN119" s="91"/>
      <c r="BO119" s="91"/>
      <c r="BP119" s="91"/>
      <c r="BQ119" s="91"/>
      <c r="BR119" s="82"/>
      <c r="BS119" s="82"/>
      <c r="BT119" s="82"/>
      <c r="BU119" s="82"/>
      <c r="BV119" s="91"/>
      <c r="BW119" s="91"/>
      <c r="BX119" s="91"/>
      <c r="BY119" s="91"/>
      <c r="BZ119" s="82"/>
      <c r="CA119" s="82"/>
      <c r="CB119" s="82"/>
      <c r="CC119" s="82"/>
      <c r="CD119" s="91"/>
      <c r="CE119" s="91"/>
      <c r="CF119" s="91"/>
      <c r="CG119" s="91"/>
      <c r="CH119" s="82"/>
      <c r="CI119" s="82"/>
      <c r="CJ119" s="82"/>
      <c r="CK119" s="82"/>
      <c r="CL119" s="91"/>
      <c r="CM119" s="91"/>
      <c r="CN119" s="91"/>
      <c r="CO119" s="91"/>
      <c r="CP119" s="82"/>
      <c r="CQ119" s="82"/>
      <c r="CR119" s="82"/>
      <c r="CS119" s="82"/>
      <c r="CT119" s="91"/>
      <c r="CU119" s="91"/>
      <c r="CV119" s="91"/>
      <c r="CW119" s="91"/>
      <c r="CX119" s="82"/>
      <c r="CY119" s="82"/>
      <c r="CZ119" s="82"/>
      <c r="DA119" s="82"/>
      <c r="DB119" s="91"/>
      <c r="DC119" s="82"/>
      <c r="DD119" s="91"/>
      <c r="DE119" s="101"/>
    </row>
    <row r="120" spans="1:109" x14ac:dyDescent="0.2">
      <c r="A120" s="14">
        <v>112</v>
      </c>
      <c r="B120" s="28" t="s">
        <v>133</v>
      </c>
      <c r="C120" s="14" t="s">
        <v>738</v>
      </c>
      <c r="D120" s="22"/>
      <c r="E120" s="24"/>
      <c r="F120" s="82" t="s">
        <v>949</v>
      </c>
      <c r="G120" s="82" t="s">
        <v>657</v>
      </c>
      <c r="H120" s="82">
        <v>1</v>
      </c>
      <c r="I120" s="82">
        <v>67881.281363636357</v>
      </c>
      <c r="J120" s="91" t="s">
        <v>954</v>
      </c>
      <c r="K120" s="91" t="s">
        <v>657</v>
      </c>
      <c r="L120" s="91">
        <v>1</v>
      </c>
      <c r="M120" s="91">
        <v>67881.281363636401</v>
      </c>
      <c r="N120" s="82" t="s">
        <v>951</v>
      </c>
      <c r="O120" s="82" t="s">
        <v>657</v>
      </c>
      <c r="P120" s="82">
        <v>1</v>
      </c>
      <c r="Q120" s="82">
        <v>67881.281363636401</v>
      </c>
      <c r="R120" s="91" t="s">
        <v>941</v>
      </c>
      <c r="S120" s="91" t="s">
        <v>657</v>
      </c>
      <c r="T120" s="91">
        <v>1</v>
      </c>
      <c r="U120" s="91">
        <v>67881.281363636357</v>
      </c>
      <c r="V120" s="82"/>
      <c r="W120" s="82"/>
      <c r="X120" s="82"/>
      <c r="Y120" s="82"/>
      <c r="Z120" s="91"/>
      <c r="AA120" s="91"/>
      <c r="AB120" s="91"/>
      <c r="AC120" s="91"/>
      <c r="AD120" s="82"/>
      <c r="AE120" s="82"/>
      <c r="AF120" s="82"/>
      <c r="AG120" s="82"/>
      <c r="AH120" s="91"/>
      <c r="AI120" s="91"/>
      <c r="AJ120" s="91"/>
      <c r="AK120" s="91"/>
      <c r="AL120" s="82"/>
      <c r="AM120" s="82"/>
      <c r="AN120" s="82"/>
      <c r="AO120" s="82"/>
      <c r="AP120" s="91"/>
      <c r="AQ120" s="91"/>
      <c r="AR120" s="91"/>
      <c r="AS120" s="91"/>
      <c r="AT120" s="82"/>
      <c r="AU120" s="82"/>
      <c r="AV120" s="82"/>
      <c r="AW120" s="82"/>
      <c r="AX120" s="91"/>
      <c r="AY120" s="91"/>
      <c r="AZ120" s="91"/>
      <c r="BA120" s="91"/>
      <c r="BB120" s="82"/>
      <c r="BC120" s="82"/>
      <c r="BD120" s="82"/>
      <c r="BE120" s="82"/>
      <c r="BF120" s="91"/>
      <c r="BG120" s="91"/>
      <c r="BH120" s="91"/>
      <c r="BI120" s="91"/>
      <c r="BJ120" s="82"/>
      <c r="BK120" s="82"/>
      <c r="BL120" s="82"/>
      <c r="BM120" s="82"/>
      <c r="BN120" s="91"/>
      <c r="BO120" s="91"/>
      <c r="BP120" s="91"/>
      <c r="BQ120" s="91"/>
      <c r="BR120" s="82"/>
      <c r="BS120" s="82"/>
      <c r="BT120" s="82"/>
      <c r="BU120" s="82"/>
      <c r="BV120" s="91"/>
      <c r="BW120" s="91"/>
      <c r="BX120" s="91"/>
      <c r="BY120" s="91"/>
      <c r="BZ120" s="82"/>
      <c r="CA120" s="82"/>
      <c r="CB120" s="82"/>
      <c r="CC120" s="82"/>
      <c r="CD120" s="91"/>
      <c r="CE120" s="91"/>
      <c r="CF120" s="91"/>
      <c r="CG120" s="91"/>
      <c r="CH120" s="82"/>
      <c r="CI120" s="82"/>
      <c r="CJ120" s="82"/>
      <c r="CK120" s="82"/>
      <c r="CL120" s="91"/>
      <c r="CM120" s="91"/>
      <c r="CN120" s="91"/>
      <c r="CO120" s="91"/>
      <c r="CP120" s="82"/>
      <c r="CQ120" s="82"/>
      <c r="CR120" s="82"/>
      <c r="CS120" s="82"/>
      <c r="CT120" s="91"/>
      <c r="CU120" s="91"/>
      <c r="CV120" s="91"/>
      <c r="CW120" s="91"/>
      <c r="CX120" s="82"/>
      <c r="CY120" s="82"/>
      <c r="CZ120" s="82"/>
      <c r="DA120" s="82"/>
      <c r="DB120" s="91">
        <v>67881.281363636357</v>
      </c>
      <c r="DC120" s="82">
        <v>271525.12545454549</v>
      </c>
      <c r="DD120" s="91"/>
      <c r="DE120" s="101"/>
    </row>
    <row r="121" spans="1:109" x14ac:dyDescent="0.2">
      <c r="A121" s="14">
        <v>113</v>
      </c>
      <c r="B121" s="28" t="s">
        <v>135</v>
      </c>
      <c r="C121" s="14" t="s">
        <v>739</v>
      </c>
      <c r="D121" s="22"/>
      <c r="E121" s="24"/>
      <c r="F121" s="82" t="s">
        <v>944</v>
      </c>
      <c r="G121" s="82" t="s">
        <v>658</v>
      </c>
      <c r="H121" s="82">
        <v>0.875</v>
      </c>
      <c r="I121" s="82">
        <v>66564.618352272722</v>
      </c>
      <c r="J121" s="91" t="s">
        <v>945</v>
      </c>
      <c r="K121" s="91" t="s">
        <v>658</v>
      </c>
      <c r="L121" s="91">
        <v>0.875</v>
      </c>
      <c r="M121" s="91">
        <v>66564.618352272693</v>
      </c>
      <c r="N121" s="82"/>
      <c r="O121" s="82"/>
      <c r="P121" s="82"/>
      <c r="Q121" s="82"/>
      <c r="R121" s="91"/>
      <c r="S121" s="91"/>
      <c r="T121" s="91"/>
      <c r="U121" s="91"/>
      <c r="V121" s="82"/>
      <c r="W121" s="82"/>
      <c r="X121" s="82"/>
      <c r="Y121" s="82"/>
      <c r="Z121" s="91"/>
      <c r="AA121" s="91"/>
      <c r="AB121" s="91"/>
      <c r="AC121" s="91"/>
      <c r="AD121" s="82"/>
      <c r="AE121" s="82"/>
      <c r="AF121" s="82"/>
      <c r="AG121" s="82"/>
      <c r="AH121" s="91"/>
      <c r="AI121" s="91"/>
      <c r="AJ121" s="91"/>
      <c r="AK121" s="91"/>
      <c r="AL121" s="82"/>
      <c r="AM121" s="82"/>
      <c r="AN121" s="82"/>
      <c r="AO121" s="82"/>
      <c r="AP121" s="91"/>
      <c r="AQ121" s="91"/>
      <c r="AR121" s="91"/>
      <c r="AS121" s="91"/>
      <c r="AT121" s="82"/>
      <c r="AU121" s="82"/>
      <c r="AV121" s="82"/>
      <c r="AW121" s="82"/>
      <c r="AX121" s="91"/>
      <c r="AY121" s="91"/>
      <c r="AZ121" s="91"/>
      <c r="BA121" s="91"/>
      <c r="BB121" s="82"/>
      <c r="BC121" s="82"/>
      <c r="BD121" s="82"/>
      <c r="BE121" s="82"/>
      <c r="BF121" s="91"/>
      <c r="BG121" s="91"/>
      <c r="BH121" s="91"/>
      <c r="BI121" s="91"/>
      <c r="BJ121" s="82"/>
      <c r="BK121" s="82"/>
      <c r="BL121" s="82"/>
      <c r="BM121" s="82"/>
      <c r="BN121" s="91"/>
      <c r="BO121" s="91"/>
      <c r="BP121" s="91"/>
      <c r="BQ121" s="91"/>
      <c r="BR121" s="82"/>
      <c r="BS121" s="82"/>
      <c r="BT121" s="82"/>
      <c r="BU121" s="82"/>
      <c r="BV121" s="91"/>
      <c r="BW121" s="91"/>
      <c r="BX121" s="91"/>
      <c r="BY121" s="91"/>
      <c r="BZ121" s="82"/>
      <c r="CA121" s="82"/>
      <c r="CB121" s="82"/>
      <c r="CC121" s="82"/>
      <c r="CD121" s="91"/>
      <c r="CE121" s="91"/>
      <c r="CF121" s="91"/>
      <c r="CG121" s="91"/>
      <c r="CH121" s="82"/>
      <c r="CI121" s="82"/>
      <c r="CJ121" s="82"/>
      <c r="CK121" s="82"/>
      <c r="CL121" s="91"/>
      <c r="CM121" s="91"/>
      <c r="CN121" s="91"/>
      <c r="CO121" s="91"/>
      <c r="CP121" s="82"/>
      <c r="CQ121" s="82"/>
      <c r="CR121" s="82"/>
      <c r="CS121" s="82"/>
      <c r="CT121" s="91"/>
      <c r="CU121" s="91"/>
      <c r="CV121" s="91"/>
      <c r="CW121" s="91"/>
      <c r="CX121" s="82"/>
      <c r="CY121" s="82"/>
      <c r="CZ121" s="82"/>
      <c r="DA121" s="82"/>
      <c r="DB121" s="91">
        <v>76073.849545454548</v>
      </c>
      <c r="DC121" s="82">
        <v>133129.23670454542</v>
      </c>
      <c r="DD121" s="91"/>
      <c r="DE121" s="101"/>
    </row>
    <row r="122" spans="1:109" x14ac:dyDescent="0.2">
      <c r="A122" s="14">
        <v>114</v>
      </c>
      <c r="B122" s="28" t="s">
        <v>139</v>
      </c>
      <c r="C122" s="14" t="s">
        <v>740</v>
      </c>
      <c r="D122" s="22"/>
      <c r="E122" s="24"/>
      <c r="F122" s="82"/>
      <c r="G122" s="82"/>
      <c r="H122" s="82"/>
      <c r="I122" s="82"/>
      <c r="J122" s="91"/>
      <c r="K122" s="91"/>
      <c r="L122" s="91"/>
      <c r="M122" s="91"/>
      <c r="N122" s="82"/>
      <c r="O122" s="82"/>
      <c r="P122" s="82"/>
      <c r="Q122" s="82"/>
      <c r="R122" s="91"/>
      <c r="S122" s="91"/>
      <c r="T122" s="91"/>
      <c r="U122" s="91"/>
      <c r="V122" s="82"/>
      <c r="W122" s="82"/>
      <c r="X122" s="82"/>
      <c r="Y122" s="82"/>
      <c r="Z122" s="91"/>
      <c r="AA122" s="91"/>
      <c r="AB122" s="91"/>
      <c r="AC122" s="91"/>
      <c r="AD122" s="82"/>
      <c r="AE122" s="82"/>
      <c r="AF122" s="82"/>
      <c r="AG122" s="82"/>
      <c r="AH122" s="91"/>
      <c r="AI122" s="91"/>
      <c r="AJ122" s="91"/>
      <c r="AK122" s="91"/>
      <c r="AL122" s="82"/>
      <c r="AM122" s="82"/>
      <c r="AN122" s="82"/>
      <c r="AO122" s="82"/>
      <c r="AP122" s="91"/>
      <c r="AQ122" s="91"/>
      <c r="AR122" s="91"/>
      <c r="AS122" s="91"/>
      <c r="AT122" s="82"/>
      <c r="AU122" s="82"/>
      <c r="AV122" s="82"/>
      <c r="AW122" s="82"/>
      <c r="AX122" s="91"/>
      <c r="AY122" s="91"/>
      <c r="AZ122" s="91"/>
      <c r="BA122" s="91"/>
      <c r="BB122" s="82"/>
      <c r="BC122" s="82"/>
      <c r="BD122" s="82"/>
      <c r="BE122" s="82"/>
      <c r="BF122" s="91"/>
      <c r="BG122" s="91"/>
      <c r="BH122" s="91"/>
      <c r="BI122" s="91"/>
      <c r="BJ122" s="82"/>
      <c r="BK122" s="82"/>
      <c r="BL122" s="82"/>
      <c r="BM122" s="82"/>
      <c r="BN122" s="91"/>
      <c r="BO122" s="91"/>
      <c r="BP122" s="91"/>
      <c r="BQ122" s="91"/>
      <c r="BR122" s="82"/>
      <c r="BS122" s="82"/>
      <c r="BT122" s="82"/>
      <c r="BU122" s="82"/>
      <c r="BV122" s="91"/>
      <c r="BW122" s="91"/>
      <c r="BX122" s="91"/>
      <c r="BY122" s="91"/>
      <c r="BZ122" s="82"/>
      <c r="CA122" s="82"/>
      <c r="CB122" s="82"/>
      <c r="CC122" s="82"/>
      <c r="CD122" s="91"/>
      <c r="CE122" s="91"/>
      <c r="CF122" s="91"/>
      <c r="CG122" s="91"/>
      <c r="CH122" s="82"/>
      <c r="CI122" s="82"/>
      <c r="CJ122" s="82"/>
      <c r="CK122" s="82"/>
      <c r="CL122" s="91"/>
      <c r="CM122" s="91"/>
      <c r="CN122" s="91"/>
      <c r="CO122" s="91"/>
      <c r="CP122" s="82"/>
      <c r="CQ122" s="82"/>
      <c r="CR122" s="82"/>
      <c r="CS122" s="82"/>
      <c r="CT122" s="91"/>
      <c r="CU122" s="91"/>
      <c r="CV122" s="91"/>
      <c r="CW122" s="91"/>
      <c r="CX122" s="82"/>
      <c r="CY122" s="82"/>
      <c r="CZ122" s="82"/>
      <c r="DA122" s="82"/>
      <c r="DB122" s="91"/>
      <c r="DC122" s="82"/>
      <c r="DD122" s="91"/>
      <c r="DE122" s="101"/>
    </row>
    <row r="123" spans="1:109" x14ac:dyDescent="0.2">
      <c r="A123" s="14">
        <v>115</v>
      </c>
      <c r="B123" s="28" t="s">
        <v>309</v>
      </c>
      <c r="C123" s="14" t="s">
        <v>741</v>
      </c>
      <c r="D123" s="22"/>
      <c r="E123" s="24"/>
      <c r="F123" s="82" t="s">
        <v>950</v>
      </c>
      <c r="G123" s="82" t="s">
        <v>657</v>
      </c>
      <c r="H123" s="82">
        <v>1</v>
      </c>
      <c r="I123" s="82">
        <v>76073.849545454548</v>
      </c>
      <c r="J123" s="91" t="s">
        <v>955</v>
      </c>
      <c r="K123" s="91" t="s">
        <v>657</v>
      </c>
      <c r="L123" s="91">
        <v>1</v>
      </c>
      <c r="M123" s="91">
        <v>76073.849545454548</v>
      </c>
      <c r="N123" s="82" t="s">
        <v>905</v>
      </c>
      <c r="O123" s="82" t="s">
        <v>657</v>
      </c>
      <c r="P123" s="82">
        <v>1</v>
      </c>
      <c r="Q123" s="82">
        <v>76073.849545454548</v>
      </c>
      <c r="R123" s="91"/>
      <c r="S123" s="91"/>
      <c r="T123" s="91"/>
      <c r="U123" s="91"/>
      <c r="V123" s="82"/>
      <c r="W123" s="82"/>
      <c r="X123" s="82"/>
      <c r="Y123" s="82"/>
      <c r="Z123" s="91"/>
      <c r="AA123" s="91"/>
      <c r="AB123" s="91"/>
      <c r="AC123" s="91"/>
      <c r="AD123" s="82"/>
      <c r="AE123" s="82"/>
      <c r="AF123" s="82"/>
      <c r="AG123" s="82"/>
      <c r="AH123" s="91"/>
      <c r="AI123" s="91"/>
      <c r="AJ123" s="91"/>
      <c r="AK123" s="91"/>
      <c r="AL123" s="82"/>
      <c r="AM123" s="82"/>
      <c r="AN123" s="82"/>
      <c r="AO123" s="82"/>
      <c r="AP123" s="91"/>
      <c r="AQ123" s="91"/>
      <c r="AR123" s="91"/>
      <c r="AS123" s="91"/>
      <c r="AT123" s="82"/>
      <c r="AU123" s="82"/>
      <c r="AV123" s="82"/>
      <c r="AW123" s="82"/>
      <c r="AX123" s="91"/>
      <c r="AY123" s="91"/>
      <c r="AZ123" s="91"/>
      <c r="BA123" s="91"/>
      <c r="BB123" s="82"/>
      <c r="BC123" s="82"/>
      <c r="BD123" s="82"/>
      <c r="BE123" s="82"/>
      <c r="BF123" s="91"/>
      <c r="BG123" s="91"/>
      <c r="BH123" s="91"/>
      <c r="BI123" s="91"/>
      <c r="BJ123" s="82"/>
      <c r="BK123" s="82"/>
      <c r="BL123" s="82"/>
      <c r="BM123" s="82"/>
      <c r="BN123" s="91"/>
      <c r="BO123" s="91"/>
      <c r="BP123" s="91"/>
      <c r="BQ123" s="91"/>
      <c r="BR123" s="82"/>
      <c r="BS123" s="82"/>
      <c r="BT123" s="82"/>
      <c r="BU123" s="82"/>
      <c r="BV123" s="91"/>
      <c r="BW123" s="91"/>
      <c r="BX123" s="91"/>
      <c r="BY123" s="91"/>
      <c r="BZ123" s="82"/>
      <c r="CA123" s="82"/>
      <c r="CB123" s="82"/>
      <c r="CC123" s="82"/>
      <c r="CD123" s="91"/>
      <c r="CE123" s="91"/>
      <c r="CF123" s="91"/>
      <c r="CG123" s="91"/>
      <c r="CH123" s="82"/>
      <c r="CI123" s="82"/>
      <c r="CJ123" s="82"/>
      <c r="CK123" s="82"/>
      <c r="CL123" s="91"/>
      <c r="CM123" s="91"/>
      <c r="CN123" s="91"/>
      <c r="CO123" s="91"/>
      <c r="CP123" s="82"/>
      <c r="CQ123" s="82"/>
      <c r="CR123" s="82"/>
      <c r="CS123" s="82"/>
      <c r="CT123" s="91"/>
      <c r="CU123" s="91"/>
      <c r="CV123" s="91"/>
      <c r="CW123" s="91"/>
      <c r="CX123" s="82"/>
      <c r="CY123" s="82"/>
      <c r="CZ123" s="82"/>
      <c r="DA123" s="82"/>
      <c r="DB123" s="91">
        <v>76073.849545454548</v>
      </c>
      <c r="DC123" s="82">
        <v>228221.54863636364</v>
      </c>
      <c r="DD123" s="91"/>
      <c r="DE123" s="101"/>
    </row>
    <row r="124" spans="1:109" x14ac:dyDescent="0.2">
      <c r="A124" s="14">
        <v>116</v>
      </c>
      <c r="B124" s="28" t="s">
        <v>141</v>
      </c>
      <c r="C124" s="14" t="s">
        <v>742</v>
      </c>
      <c r="D124" s="22"/>
      <c r="E124" s="24"/>
      <c r="F124" s="82"/>
      <c r="G124" s="82"/>
      <c r="H124" s="82"/>
      <c r="I124" s="82"/>
      <c r="J124" s="91"/>
      <c r="K124" s="91"/>
      <c r="L124" s="91"/>
      <c r="M124" s="91"/>
      <c r="N124" s="82"/>
      <c r="O124" s="82"/>
      <c r="P124" s="82"/>
      <c r="Q124" s="82"/>
      <c r="R124" s="91"/>
      <c r="S124" s="91"/>
      <c r="T124" s="91"/>
      <c r="U124" s="91"/>
      <c r="V124" s="82"/>
      <c r="W124" s="82"/>
      <c r="X124" s="82"/>
      <c r="Y124" s="82"/>
      <c r="Z124" s="91"/>
      <c r="AA124" s="91"/>
      <c r="AB124" s="91"/>
      <c r="AC124" s="91"/>
      <c r="AD124" s="82"/>
      <c r="AE124" s="82"/>
      <c r="AF124" s="82"/>
      <c r="AG124" s="82"/>
      <c r="AH124" s="91"/>
      <c r="AI124" s="91"/>
      <c r="AJ124" s="91"/>
      <c r="AK124" s="91"/>
      <c r="AL124" s="82"/>
      <c r="AM124" s="82"/>
      <c r="AN124" s="82"/>
      <c r="AO124" s="82"/>
      <c r="AP124" s="91"/>
      <c r="AQ124" s="91"/>
      <c r="AR124" s="91"/>
      <c r="AS124" s="91"/>
      <c r="AT124" s="82"/>
      <c r="AU124" s="82"/>
      <c r="AV124" s="82"/>
      <c r="AW124" s="82"/>
      <c r="AX124" s="91"/>
      <c r="AY124" s="91"/>
      <c r="AZ124" s="91"/>
      <c r="BA124" s="91"/>
      <c r="BB124" s="82"/>
      <c r="BC124" s="82"/>
      <c r="BD124" s="82"/>
      <c r="BE124" s="82"/>
      <c r="BF124" s="91"/>
      <c r="BG124" s="91"/>
      <c r="BH124" s="91"/>
      <c r="BI124" s="91"/>
      <c r="BJ124" s="82"/>
      <c r="BK124" s="82"/>
      <c r="BL124" s="82"/>
      <c r="BM124" s="82"/>
      <c r="BN124" s="91"/>
      <c r="BO124" s="91"/>
      <c r="BP124" s="91"/>
      <c r="BQ124" s="91"/>
      <c r="BR124" s="82"/>
      <c r="BS124" s="82"/>
      <c r="BT124" s="82"/>
      <c r="BU124" s="82"/>
      <c r="BV124" s="91"/>
      <c r="BW124" s="91"/>
      <c r="BX124" s="91"/>
      <c r="BY124" s="91"/>
      <c r="BZ124" s="82"/>
      <c r="CA124" s="82"/>
      <c r="CB124" s="82"/>
      <c r="CC124" s="82"/>
      <c r="CD124" s="91"/>
      <c r="CE124" s="91"/>
      <c r="CF124" s="91"/>
      <c r="CG124" s="91"/>
      <c r="CH124" s="82"/>
      <c r="CI124" s="82"/>
      <c r="CJ124" s="82"/>
      <c r="CK124" s="82"/>
      <c r="CL124" s="91"/>
      <c r="CM124" s="91"/>
      <c r="CN124" s="91"/>
      <c r="CO124" s="91"/>
      <c r="CP124" s="82"/>
      <c r="CQ124" s="82"/>
      <c r="CR124" s="82"/>
      <c r="CS124" s="82"/>
      <c r="CT124" s="91"/>
      <c r="CU124" s="91"/>
      <c r="CV124" s="91"/>
      <c r="CW124" s="91"/>
      <c r="CX124" s="82"/>
      <c r="CY124" s="82"/>
      <c r="CZ124" s="82"/>
      <c r="DA124" s="82"/>
      <c r="DB124" s="91"/>
      <c r="DC124" s="82"/>
      <c r="DD124" s="91"/>
      <c r="DE124" s="101"/>
    </row>
    <row r="125" spans="1:109" x14ac:dyDescent="0.2">
      <c r="A125" s="14">
        <v>117</v>
      </c>
      <c r="B125" s="28" t="s">
        <v>143</v>
      </c>
      <c r="C125" s="14" t="s">
        <v>743</v>
      </c>
      <c r="D125" s="22"/>
      <c r="E125" s="24"/>
      <c r="F125" s="82" t="s">
        <v>939</v>
      </c>
      <c r="G125" s="82" t="s">
        <v>657</v>
      </c>
      <c r="H125" s="82">
        <v>1</v>
      </c>
      <c r="I125" s="82">
        <v>99481.188181818186</v>
      </c>
      <c r="J125" s="91"/>
      <c r="K125" s="91"/>
      <c r="L125" s="91"/>
      <c r="M125" s="91"/>
      <c r="N125" s="82"/>
      <c r="O125" s="82"/>
      <c r="P125" s="82"/>
      <c r="Q125" s="82"/>
      <c r="R125" s="91"/>
      <c r="S125" s="91"/>
      <c r="T125" s="91"/>
      <c r="U125" s="91"/>
      <c r="V125" s="82"/>
      <c r="W125" s="82"/>
      <c r="X125" s="82"/>
      <c r="Y125" s="82"/>
      <c r="Z125" s="91"/>
      <c r="AA125" s="91"/>
      <c r="AB125" s="91"/>
      <c r="AC125" s="91"/>
      <c r="AD125" s="82"/>
      <c r="AE125" s="82"/>
      <c r="AF125" s="82"/>
      <c r="AG125" s="82"/>
      <c r="AH125" s="91"/>
      <c r="AI125" s="91"/>
      <c r="AJ125" s="91"/>
      <c r="AK125" s="91"/>
      <c r="AL125" s="82"/>
      <c r="AM125" s="82"/>
      <c r="AN125" s="82"/>
      <c r="AO125" s="82"/>
      <c r="AP125" s="91"/>
      <c r="AQ125" s="91"/>
      <c r="AR125" s="91"/>
      <c r="AS125" s="91"/>
      <c r="AT125" s="82"/>
      <c r="AU125" s="82"/>
      <c r="AV125" s="82"/>
      <c r="AW125" s="82"/>
      <c r="AX125" s="91"/>
      <c r="AY125" s="91"/>
      <c r="AZ125" s="91"/>
      <c r="BA125" s="91"/>
      <c r="BB125" s="82"/>
      <c r="BC125" s="82"/>
      <c r="BD125" s="82"/>
      <c r="BE125" s="82"/>
      <c r="BF125" s="91"/>
      <c r="BG125" s="91"/>
      <c r="BH125" s="91"/>
      <c r="BI125" s="91"/>
      <c r="BJ125" s="82"/>
      <c r="BK125" s="82"/>
      <c r="BL125" s="82"/>
      <c r="BM125" s="82"/>
      <c r="BN125" s="91"/>
      <c r="BO125" s="91"/>
      <c r="BP125" s="91"/>
      <c r="BQ125" s="91"/>
      <c r="BR125" s="82"/>
      <c r="BS125" s="82"/>
      <c r="BT125" s="82"/>
      <c r="BU125" s="82"/>
      <c r="BV125" s="91"/>
      <c r="BW125" s="91"/>
      <c r="BX125" s="91"/>
      <c r="BY125" s="91"/>
      <c r="BZ125" s="82"/>
      <c r="CA125" s="82"/>
      <c r="CB125" s="82"/>
      <c r="CC125" s="82"/>
      <c r="CD125" s="91"/>
      <c r="CE125" s="91"/>
      <c r="CF125" s="91"/>
      <c r="CG125" s="91"/>
      <c r="CH125" s="82"/>
      <c r="CI125" s="82"/>
      <c r="CJ125" s="82"/>
      <c r="CK125" s="82"/>
      <c r="CL125" s="91"/>
      <c r="CM125" s="91"/>
      <c r="CN125" s="91"/>
      <c r="CO125" s="91"/>
      <c r="CP125" s="82"/>
      <c r="CQ125" s="82"/>
      <c r="CR125" s="82"/>
      <c r="CS125" s="82"/>
      <c r="CT125" s="91"/>
      <c r="CU125" s="91"/>
      <c r="CV125" s="91"/>
      <c r="CW125" s="91"/>
      <c r="CX125" s="82"/>
      <c r="CY125" s="82"/>
      <c r="CZ125" s="82"/>
      <c r="DA125" s="82"/>
      <c r="DB125" s="91">
        <v>99481.188181818186</v>
      </c>
      <c r="DC125" s="82">
        <v>99481.188181818186</v>
      </c>
      <c r="DD125" s="91"/>
      <c r="DE125" s="101"/>
    </row>
    <row r="126" spans="1:109" x14ac:dyDescent="0.2">
      <c r="A126" s="14">
        <v>118</v>
      </c>
      <c r="B126" s="28" t="s">
        <v>860</v>
      </c>
      <c r="C126" s="14" t="s">
        <v>744</v>
      </c>
      <c r="D126" s="22"/>
      <c r="E126" s="24"/>
      <c r="F126" s="82" t="s">
        <v>951</v>
      </c>
      <c r="G126" s="82" t="s">
        <v>657</v>
      </c>
      <c r="H126" s="82">
        <v>1</v>
      </c>
      <c r="I126" s="82">
        <v>99481.188181818186</v>
      </c>
      <c r="J126" s="91" t="s">
        <v>956</v>
      </c>
      <c r="K126" s="91" t="s">
        <v>662</v>
      </c>
      <c r="L126" s="91">
        <v>0.15874999999999995</v>
      </c>
      <c r="M126" s="91">
        <v>15792.638623863631</v>
      </c>
      <c r="N126" s="82"/>
      <c r="O126" s="82"/>
      <c r="P126" s="82"/>
      <c r="Q126" s="82"/>
      <c r="R126" s="91"/>
      <c r="S126" s="91"/>
      <c r="T126" s="91"/>
      <c r="U126" s="91"/>
      <c r="V126" s="82"/>
      <c r="W126" s="82"/>
      <c r="X126" s="82"/>
      <c r="Y126" s="82"/>
      <c r="Z126" s="91"/>
      <c r="AA126" s="91"/>
      <c r="AB126" s="91"/>
      <c r="AC126" s="91"/>
      <c r="AD126" s="82"/>
      <c r="AE126" s="82"/>
      <c r="AF126" s="82"/>
      <c r="AG126" s="82"/>
      <c r="AH126" s="91"/>
      <c r="AI126" s="91"/>
      <c r="AJ126" s="91"/>
      <c r="AK126" s="91"/>
      <c r="AL126" s="82"/>
      <c r="AM126" s="82"/>
      <c r="AN126" s="82"/>
      <c r="AO126" s="82"/>
      <c r="AP126" s="91"/>
      <c r="AQ126" s="91"/>
      <c r="AR126" s="91"/>
      <c r="AS126" s="91"/>
      <c r="AT126" s="82"/>
      <c r="AU126" s="82"/>
      <c r="AV126" s="82"/>
      <c r="AW126" s="82"/>
      <c r="AX126" s="91"/>
      <c r="AY126" s="91"/>
      <c r="AZ126" s="91"/>
      <c r="BA126" s="91"/>
      <c r="BB126" s="82"/>
      <c r="BC126" s="82"/>
      <c r="BD126" s="82"/>
      <c r="BE126" s="82"/>
      <c r="BF126" s="91"/>
      <c r="BG126" s="91"/>
      <c r="BH126" s="91"/>
      <c r="BI126" s="91"/>
      <c r="BJ126" s="82"/>
      <c r="BK126" s="82"/>
      <c r="BL126" s="82"/>
      <c r="BM126" s="82"/>
      <c r="BN126" s="91"/>
      <c r="BO126" s="91"/>
      <c r="BP126" s="91"/>
      <c r="BQ126" s="91"/>
      <c r="BR126" s="82"/>
      <c r="BS126" s="82"/>
      <c r="BT126" s="82"/>
      <c r="BU126" s="82"/>
      <c r="BV126" s="91"/>
      <c r="BW126" s="91"/>
      <c r="BX126" s="91"/>
      <c r="BY126" s="91"/>
      <c r="BZ126" s="82"/>
      <c r="CA126" s="82"/>
      <c r="CB126" s="82"/>
      <c r="CC126" s="82"/>
      <c r="CD126" s="91"/>
      <c r="CE126" s="91"/>
      <c r="CF126" s="91"/>
      <c r="CG126" s="91"/>
      <c r="CH126" s="82"/>
      <c r="CI126" s="82"/>
      <c r="CJ126" s="82"/>
      <c r="CK126" s="82"/>
      <c r="CL126" s="91"/>
      <c r="CM126" s="91"/>
      <c r="CN126" s="91"/>
      <c r="CO126" s="91"/>
      <c r="CP126" s="82"/>
      <c r="CQ126" s="82"/>
      <c r="CR126" s="82"/>
      <c r="CS126" s="82"/>
      <c r="CT126" s="91"/>
      <c r="CU126" s="91"/>
      <c r="CV126" s="91"/>
      <c r="CW126" s="91"/>
      <c r="CX126" s="82"/>
      <c r="CY126" s="82"/>
      <c r="CZ126" s="82"/>
      <c r="DA126" s="82"/>
      <c r="DB126" s="91">
        <v>99481.188181818186</v>
      </c>
      <c r="DC126" s="82">
        <v>115273.82680568182</v>
      </c>
      <c r="DD126" s="91"/>
      <c r="DE126" s="101"/>
    </row>
    <row r="127" spans="1:109" x14ac:dyDescent="0.2">
      <c r="A127" s="14">
        <v>119</v>
      </c>
      <c r="B127" s="28" t="s">
        <v>310</v>
      </c>
      <c r="C127" s="14" t="s">
        <v>745</v>
      </c>
      <c r="D127" s="22"/>
      <c r="E127" s="24"/>
      <c r="F127" s="82"/>
      <c r="G127" s="82"/>
      <c r="H127" s="82"/>
      <c r="I127" s="82"/>
      <c r="J127" s="91"/>
      <c r="K127" s="91"/>
      <c r="L127" s="91"/>
      <c r="M127" s="91"/>
      <c r="N127" s="82"/>
      <c r="O127" s="82"/>
      <c r="P127" s="82"/>
      <c r="Q127" s="82"/>
      <c r="R127" s="91"/>
      <c r="S127" s="91"/>
      <c r="T127" s="91"/>
      <c r="U127" s="91"/>
      <c r="V127" s="82"/>
      <c r="W127" s="82"/>
      <c r="X127" s="82"/>
      <c r="Y127" s="82"/>
      <c r="Z127" s="91"/>
      <c r="AA127" s="91"/>
      <c r="AB127" s="91"/>
      <c r="AC127" s="91"/>
      <c r="AD127" s="82"/>
      <c r="AE127" s="82"/>
      <c r="AF127" s="82"/>
      <c r="AG127" s="82"/>
      <c r="AH127" s="91"/>
      <c r="AI127" s="91"/>
      <c r="AJ127" s="91"/>
      <c r="AK127" s="91"/>
      <c r="AL127" s="82"/>
      <c r="AM127" s="82"/>
      <c r="AN127" s="82"/>
      <c r="AO127" s="82"/>
      <c r="AP127" s="91"/>
      <c r="AQ127" s="91"/>
      <c r="AR127" s="91"/>
      <c r="AS127" s="91"/>
      <c r="AT127" s="82"/>
      <c r="AU127" s="82"/>
      <c r="AV127" s="82"/>
      <c r="AW127" s="82"/>
      <c r="AX127" s="91"/>
      <c r="AY127" s="91"/>
      <c r="AZ127" s="91"/>
      <c r="BA127" s="91"/>
      <c r="BB127" s="82"/>
      <c r="BC127" s="82"/>
      <c r="BD127" s="82"/>
      <c r="BE127" s="82"/>
      <c r="BF127" s="91"/>
      <c r="BG127" s="91"/>
      <c r="BH127" s="91"/>
      <c r="BI127" s="91"/>
      <c r="BJ127" s="82"/>
      <c r="BK127" s="82"/>
      <c r="BL127" s="82"/>
      <c r="BM127" s="82"/>
      <c r="BN127" s="91"/>
      <c r="BO127" s="91"/>
      <c r="BP127" s="91"/>
      <c r="BQ127" s="91"/>
      <c r="BR127" s="82"/>
      <c r="BS127" s="82"/>
      <c r="BT127" s="82"/>
      <c r="BU127" s="82"/>
      <c r="BV127" s="91"/>
      <c r="BW127" s="91"/>
      <c r="BX127" s="91"/>
      <c r="BY127" s="91"/>
      <c r="BZ127" s="82"/>
      <c r="CA127" s="82"/>
      <c r="CB127" s="82"/>
      <c r="CC127" s="82"/>
      <c r="CD127" s="91"/>
      <c r="CE127" s="91"/>
      <c r="CF127" s="91"/>
      <c r="CG127" s="91"/>
      <c r="CH127" s="82"/>
      <c r="CI127" s="82"/>
      <c r="CJ127" s="82"/>
      <c r="CK127" s="82"/>
      <c r="CL127" s="91"/>
      <c r="CM127" s="91"/>
      <c r="CN127" s="91"/>
      <c r="CO127" s="91"/>
      <c r="CP127" s="82"/>
      <c r="CQ127" s="82"/>
      <c r="CR127" s="82"/>
      <c r="CS127" s="82"/>
      <c r="CT127" s="91"/>
      <c r="CU127" s="91"/>
      <c r="CV127" s="91"/>
      <c r="CW127" s="91"/>
      <c r="CX127" s="82"/>
      <c r="CY127" s="82"/>
      <c r="CZ127" s="82"/>
      <c r="DA127" s="82"/>
      <c r="DB127" s="91"/>
      <c r="DC127" s="82"/>
      <c r="DD127" s="91"/>
      <c r="DE127" s="101"/>
    </row>
    <row r="128" spans="1:109" x14ac:dyDescent="0.2">
      <c r="A128" s="14">
        <v>120</v>
      </c>
      <c r="B128" s="28" t="s">
        <v>150</v>
      </c>
      <c r="C128" s="14" t="s">
        <v>746</v>
      </c>
      <c r="D128" s="22"/>
      <c r="E128" s="24"/>
      <c r="F128" s="82" t="s">
        <v>948</v>
      </c>
      <c r="G128" s="82" t="s">
        <v>658</v>
      </c>
      <c r="H128" s="82">
        <v>1</v>
      </c>
      <c r="I128" s="82">
        <v>99481.188181818186</v>
      </c>
      <c r="J128" s="91"/>
      <c r="K128" s="91"/>
      <c r="L128" s="91"/>
      <c r="M128" s="91"/>
      <c r="N128" s="82"/>
      <c r="O128" s="82"/>
      <c r="P128" s="82"/>
      <c r="Q128" s="82"/>
      <c r="R128" s="91"/>
      <c r="S128" s="91"/>
      <c r="T128" s="91"/>
      <c r="U128" s="91"/>
      <c r="V128" s="82"/>
      <c r="W128" s="82"/>
      <c r="X128" s="82"/>
      <c r="Y128" s="82"/>
      <c r="Z128" s="91"/>
      <c r="AA128" s="91"/>
      <c r="AB128" s="91"/>
      <c r="AC128" s="91"/>
      <c r="AD128" s="82"/>
      <c r="AE128" s="82"/>
      <c r="AF128" s="82"/>
      <c r="AG128" s="82"/>
      <c r="AH128" s="91"/>
      <c r="AI128" s="91"/>
      <c r="AJ128" s="91"/>
      <c r="AK128" s="91"/>
      <c r="AL128" s="82"/>
      <c r="AM128" s="82"/>
      <c r="AN128" s="82"/>
      <c r="AO128" s="82"/>
      <c r="AP128" s="91"/>
      <c r="AQ128" s="91"/>
      <c r="AR128" s="91"/>
      <c r="AS128" s="91"/>
      <c r="AT128" s="82"/>
      <c r="AU128" s="82"/>
      <c r="AV128" s="82"/>
      <c r="AW128" s="82"/>
      <c r="AX128" s="91"/>
      <c r="AY128" s="91"/>
      <c r="AZ128" s="91"/>
      <c r="BA128" s="91"/>
      <c r="BB128" s="82"/>
      <c r="BC128" s="82"/>
      <c r="BD128" s="82"/>
      <c r="BE128" s="82"/>
      <c r="BF128" s="91"/>
      <c r="BG128" s="91"/>
      <c r="BH128" s="91"/>
      <c r="BI128" s="91"/>
      <c r="BJ128" s="82"/>
      <c r="BK128" s="82"/>
      <c r="BL128" s="82"/>
      <c r="BM128" s="82"/>
      <c r="BN128" s="91"/>
      <c r="BO128" s="91"/>
      <c r="BP128" s="91"/>
      <c r="BQ128" s="91"/>
      <c r="BR128" s="82"/>
      <c r="BS128" s="82"/>
      <c r="BT128" s="82"/>
      <c r="BU128" s="82"/>
      <c r="BV128" s="91"/>
      <c r="BW128" s="91"/>
      <c r="BX128" s="91"/>
      <c r="BY128" s="91"/>
      <c r="BZ128" s="82"/>
      <c r="CA128" s="82"/>
      <c r="CB128" s="82"/>
      <c r="CC128" s="82"/>
      <c r="CD128" s="91"/>
      <c r="CE128" s="91"/>
      <c r="CF128" s="91"/>
      <c r="CG128" s="91"/>
      <c r="CH128" s="82"/>
      <c r="CI128" s="82"/>
      <c r="CJ128" s="82"/>
      <c r="CK128" s="82"/>
      <c r="CL128" s="91"/>
      <c r="CM128" s="91"/>
      <c r="CN128" s="91"/>
      <c r="CO128" s="91"/>
      <c r="CP128" s="82"/>
      <c r="CQ128" s="82"/>
      <c r="CR128" s="82"/>
      <c r="CS128" s="82"/>
      <c r="CT128" s="91"/>
      <c r="CU128" s="91"/>
      <c r="CV128" s="91"/>
      <c r="CW128" s="91"/>
      <c r="CX128" s="82"/>
      <c r="CY128" s="82"/>
      <c r="CZ128" s="82"/>
      <c r="DA128" s="82"/>
      <c r="DB128" s="91">
        <v>99481.188181818186</v>
      </c>
      <c r="DC128" s="82">
        <v>99481.188181818186</v>
      </c>
      <c r="DD128" s="91"/>
      <c r="DE128" s="101"/>
    </row>
    <row r="129" spans="1:109" x14ac:dyDescent="0.2">
      <c r="A129" s="14">
        <v>121</v>
      </c>
      <c r="B129" s="28" t="s">
        <v>151</v>
      </c>
      <c r="C129" s="14" t="s">
        <v>747</v>
      </c>
      <c r="D129" s="22"/>
      <c r="E129" s="24"/>
      <c r="F129" s="82" t="s">
        <v>938</v>
      </c>
      <c r="G129" s="82" t="s">
        <v>657</v>
      </c>
      <c r="H129" s="82">
        <v>1.3025</v>
      </c>
      <c r="I129" s="82">
        <v>99086.189032954542</v>
      </c>
      <c r="J129" s="91" t="s">
        <v>951</v>
      </c>
      <c r="K129" s="91" t="s">
        <v>657</v>
      </c>
      <c r="L129" s="91">
        <v>1.4950000000000001</v>
      </c>
      <c r="M129" s="91">
        <v>113730.40507045449</v>
      </c>
      <c r="N129" s="82" t="s">
        <v>941</v>
      </c>
      <c r="O129" s="82" t="s">
        <v>657</v>
      </c>
      <c r="P129" s="82">
        <v>1.2450000000000001</v>
      </c>
      <c r="Q129" s="82">
        <v>94711.942684090871</v>
      </c>
      <c r="R129" s="91"/>
      <c r="S129" s="91"/>
      <c r="T129" s="91"/>
      <c r="U129" s="91"/>
      <c r="V129" s="82"/>
      <c r="W129" s="82"/>
      <c r="X129" s="82"/>
      <c r="Y129" s="82"/>
      <c r="Z129" s="91"/>
      <c r="AA129" s="91"/>
      <c r="AB129" s="91"/>
      <c r="AC129" s="91"/>
      <c r="AD129" s="82"/>
      <c r="AE129" s="82"/>
      <c r="AF129" s="82"/>
      <c r="AG129" s="82"/>
      <c r="AH129" s="91"/>
      <c r="AI129" s="91"/>
      <c r="AJ129" s="91"/>
      <c r="AK129" s="91"/>
      <c r="AL129" s="82"/>
      <c r="AM129" s="82"/>
      <c r="AN129" s="82"/>
      <c r="AO129" s="82"/>
      <c r="AP129" s="91"/>
      <c r="AQ129" s="91"/>
      <c r="AR129" s="91"/>
      <c r="AS129" s="91"/>
      <c r="AT129" s="82"/>
      <c r="AU129" s="82"/>
      <c r="AV129" s="82"/>
      <c r="AW129" s="82"/>
      <c r="AX129" s="91"/>
      <c r="AY129" s="91"/>
      <c r="AZ129" s="91"/>
      <c r="BA129" s="91"/>
      <c r="BB129" s="82"/>
      <c r="BC129" s="82"/>
      <c r="BD129" s="82"/>
      <c r="BE129" s="82"/>
      <c r="BF129" s="91"/>
      <c r="BG129" s="91"/>
      <c r="BH129" s="91"/>
      <c r="BI129" s="91"/>
      <c r="BJ129" s="82"/>
      <c r="BK129" s="82"/>
      <c r="BL129" s="82"/>
      <c r="BM129" s="82"/>
      <c r="BN129" s="91"/>
      <c r="BO129" s="91"/>
      <c r="BP129" s="91"/>
      <c r="BQ129" s="91"/>
      <c r="BR129" s="82"/>
      <c r="BS129" s="82"/>
      <c r="BT129" s="82"/>
      <c r="BU129" s="82"/>
      <c r="BV129" s="91"/>
      <c r="BW129" s="91"/>
      <c r="BX129" s="91"/>
      <c r="BY129" s="91"/>
      <c r="BZ129" s="82"/>
      <c r="CA129" s="82"/>
      <c r="CB129" s="82"/>
      <c r="CC129" s="82"/>
      <c r="CD129" s="91"/>
      <c r="CE129" s="91"/>
      <c r="CF129" s="91"/>
      <c r="CG129" s="91"/>
      <c r="CH129" s="82"/>
      <c r="CI129" s="82"/>
      <c r="CJ129" s="82"/>
      <c r="CK129" s="82"/>
      <c r="CL129" s="91"/>
      <c r="CM129" s="91"/>
      <c r="CN129" s="91"/>
      <c r="CO129" s="91"/>
      <c r="CP129" s="82"/>
      <c r="CQ129" s="82"/>
      <c r="CR129" s="82"/>
      <c r="CS129" s="82"/>
      <c r="CT129" s="91"/>
      <c r="CU129" s="91"/>
      <c r="CV129" s="91"/>
      <c r="CW129" s="91"/>
      <c r="CX129" s="82"/>
      <c r="CY129" s="82"/>
      <c r="CZ129" s="82"/>
      <c r="DA129" s="82"/>
      <c r="DB129" s="91">
        <v>76073.849545454548</v>
      </c>
      <c r="DC129" s="82">
        <v>307528.53678749991</v>
      </c>
      <c r="DD129" s="91"/>
      <c r="DE129" s="101"/>
    </row>
    <row r="130" spans="1:109" x14ac:dyDescent="0.2">
      <c r="A130" s="14">
        <v>122</v>
      </c>
      <c r="B130" s="28" t="s">
        <v>153</v>
      </c>
      <c r="C130" s="14" t="s">
        <v>748</v>
      </c>
      <c r="D130" s="22"/>
      <c r="E130" s="24"/>
      <c r="F130" s="82" t="s">
        <v>957</v>
      </c>
      <c r="G130" s="82" t="s">
        <v>658</v>
      </c>
      <c r="H130" s="82">
        <v>1</v>
      </c>
      <c r="I130" s="82">
        <v>99481.188181818186</v>
      </c>
      <c r="J130" s="91" t="s">
        <v>958</v>
      </c>
      <c r="K130" s="91" t="s">
        <v>658</v>
      </c>
      <c r="L130" s="91">
        <v>0.875</v>
      </c>
      <c r="M130" s="91">
        <v>87046.039659090908</v>
      </c>
      <c r="N130" s="82"/>
      <c r="O130" s="82"/>
      <c r="P130" s="82"/>
      <c r="Q130" s="82"/>
      <c r="R130" s="91"/>
      <c r="S130" s="91"/>
      <c r="T130" s="91"/>
      <c r="U130" s="91"/>
      <c r="V130" s="82"/>
      <c r="W130" s="82"/>
      <c r="X130" s="82"/>
      <c r="Y130" s="82"/>
      <c r="Z130" s="91"/>
      <c r="AA130" s="91"/>
      <c r="AB130" s="91"/>
      <c r="AC130" s="91"/>
      <c r="AD130" s="82"/>
      <c r="AE130" s="82"/>
      <c r="AF130" s="82"/>
      <c r="AG130" s="82"/>
      <c r="AH130" s="91"/>
      <c r="AI130" s="91"/>
      <c r="AJ130" s="91"/>
      <c r="AK130" s="91"/>
      <c r="AL130" s="82"/>
      <c r="AM130" s="82"/>
      <c r="AN130" s="82"/>
      <c r="AO130" s="82"/>
      <c r="AP130" s="91"/>
      <c r="AQ130" s="91"/>
      <c r="AR130" s="91"/>
      <c r="AS130" s="91"/>
      <c r="AT130" s="82"/>
      <c r="AU130" s="82"/>
      <c r="AV130" s="82"/>
      <c r="AW130" s="82"/>
      <c r="AX130" s="91"/>
      <c r="AY130" s="91"/>
      <c r="AZ130" s="91"/>
      <c r="BA130" s="91"/>
      <c r="BB130" s="82"/>
      <c r="BC130" s="82"/>
      <c r="BD130" s="82"/>
      <c r="BE130" s="82"/>
      <c r="BF130" s="91"/>
      <c r="BG130" s="91"/>
      <c r="BH130" s="91"/>
      <c r="BI130" s="91"/>
      <c r="BJ130" s="82"/>
      <c r="BK130" s="82"/>
      <c r="BL130" s="82"/>
      <c r="BM130" s="82"/>
      <c r="BN130" s="91"/>
      <c r="BO130" s="91"/>
      <c r="BP130" s="91"/>
      <c r="BQ130" s="91"/>
      <c r="BR130" s="82"/>
      <c r="BS130" s="82"/>
      <c r="BT130" s="82"/>
      <c r="BU130" s="82"/>
      <c r="BV130" s="91"/>
      <c r="BW130" s="91"/>
      <c r="BX130" s="91"/>
      <c r="BY130" s="91"/>
      <c r="BZ130" s="82"/>
      <c r="CA130" s="82"/>
      <c r="CB130" s="82"/>
      <c r="CC130" s="82"/>
      <c r="CD130" s="91"/>
      <c r="CE130" s="91"/>
      <c r="CF130" s="91"/>
      <c r="CG130" s="91"/>
      <c r="CH130" s="82"/>
      <c r="CI130" s="82"/>
      <c r="CJ130" s="82"/>
      <c r="CK130" s="82"/>
      <c r="CL130" s="91"/>
      <c r="CM130" s="91"/>
      <c r="CN130" s="91"/>
      <c r="CO130" s="91"/>
      <c r="CP130" s="82"/>
      <c r="CQ130" s="82"/>
      <c r="CR130" s="82"/>
      <c r="CS130" s="82"/>
      <c r="CT130" s="91"/>
      <c r="CU130" s="91"/>
      <c r="CV130" s="91"/>
      <c r="CW130" s="91"/>
      <c r="CX130" s="82"/>
      <c r="CY130" s="82"/>
      <c r="CZ130" s="82"/>
      <c r="DA130" s="82"/>
      <c r="DB130" s="91">
        <v>99481.188181818186</v>
      </c>
      <c r="DC130" s="82">
        <v>186527.22784090909</v>
      </c>
      <c r="DD130" s="91"/>
      <c r="DE130" s="101"/>
    </row>
    <row r="131" spans="1:109" x14ac:dyDescent="0.2">
      <c r="A131" s="14">
        <v>123</v>
      </c>
      <c r="B131" s="28" t="s">
        <v>155</v>
      </c>
      <c r="C131" s="14" t="s">
        <v>749</v>
      </c>
      <c r="D131" s="22"/>
      <c r="E131" s="24"/>
      <c r="F131" s="82"/>
      <c r="G131" s="82" t="s">
        <v>660</v>
      </c>
      <c r="H131" s="82"/>
      <c r="I131" s="82"/>
      <c r="J131" s="91"/>
      <c r="K131" s="91"/>
      <c r="L131" s="91"/>
      <c r="M131" s="91"/>
      <c r="N131" s="82"/>
      <c r="O131" s="82"/>
      <c r="P131" s="82"/>
      <c r="Q131" s="82"/>
      <c r="R131" s="91"/>
      <c r="S131" s="91"/>
      <c r="T131" s="91"/>
      <c r="U131" s="91"/>
      <c r="V131" s="82"/>
      <c r="W131" s="82"/>
      <c r="X131" s="82"/>
      <c r="Y131" s="82"/>
      <c r="Z131" s="91"/>
      <c r="AA131" s="91"/>
      <c r="AB131" s="91"/>
      <c r="AC131" s="91"/>
      <c r="AD131" s="82"/>
      <c r="AE131" s="82"/>
      <c r="AF131" s="82"/>
      <c r="AG131" s="82"/>
      <c r="AH131" s="91"/>
      <c r="AI131" s="91"/>
      <c r="AJ131" s="91"/>
      <c r="AK131" s="91"/>
      <c r="AL131" s="82"/>
      <c r="AM131" s="82"/>
      <c r="AN131" s="82"/>
      <c r="AO131" s="82"/>
      <c r="AP131" s="91"/>
      <c r="AQ131" s="91"/>
      <c r="AR131" s="91"/>
      <c r="AS131" s="91"/>
      <c r="AT131" s="82"/>
      <c r="AU131" s="82"/>
      <c r="AV131" s="82"/>
      <c r="AW131" s="82"/>
      <c r="AX131" s="91"/>
      <c r="AY131" s="91"/>
      <c r="AZ131" s="91"/>
      <c r="BA131" s="91"/>
      <c r="BB131" s="82"/>
      <c r="BC131" s="82"/>
      <c r="BD131" s="82"/>
      <c r="BE131" s="82"/>
      <c r="BF131" s="91"/>
      <c r="BG131" s="91"/>
      <c r="BH131" s="91"/>
      <c r="BI131" s="91"/>
      <c r="BJ131" s="82"/>
      <c r="BK131" s="82"/>
      <c r="BL131" s="82"/>
      <c r="BM131" s="82"/>
      <c r="BN131" s="91"/>
      <c r="BO131" s="91"/>
      <c r="BP131" s="91"/>
      <c r="BQ131" s="91"/>
      <c r="BR131" s="82"/>
      <c r="BS131" s="82"/>
      <c r="BT131" s="82"/>
      <c r="BU131" s="82"/>
      <c r="BV131" s="91"/>
      <c r="BW131" s="91"/>
      <c r="BX131" s="91"/>
      <c r="BY131" s="91"/>
      <c r="BZ131" s="82"/>
      <c r="CA131" s="82"/>
      <c r="CB131" s="82"/>
      <c r="CC131" s="82"/>
      <c r="CD131" s="91"/>
      <c r="CE131" s="91"/>
      <c r="CF131" s="91"/>
      <c r="CG131" s="91"/>
      <c r="CH131" s="82"/>
      <c r="CI131" s="82"/>
      <c r="CJ131" s="82"/>
      <c r="CK131" s="82"/>
      <c r="CL131" s="91"/>
      <c r="CM131" s="91"/>
      <c r="CN131" s="91"/>
      <c r="CO131" s="91"/>
      <c r="CP131" s="82"/>
      <c r="CQ131" s="82"/>
      <c r="CR131" s="82"/>
      <c r="CS131" s="82"/>
      <c r="CT131" s="91"/>
      <c r="CU131" s="91"/>
      <c r="CV131" s="91"/>
      <c r="CW131" s="91"/>
      <c r="CX131" s="82"/>
      <c r="CY131" s="82"/>
      <c r="CZ131" s="82"/>
      <c r="DA131" s="82"/>
      <c r="DB131" s="91"/>
      <c r="DC131" s="82">
        <v>397894</v>
      </c>
      <c r="DD131" s="91"/>
      <c r="DE131" s="101"/>
    </row>
    <row r="132" spans="1:109" x14ac:dyDescent="0.2">
      <c r="A132" s="14">
        <v>124</v>
      </c>
      <c r="B132" s="28" t="s">
        <v>161</v>
      </c>
      <c r="C132" s="14" t="s">
        <v>750</v>
      </c>
      <c r="D132" s="22"/>
      <c r="E132" s="24"/>
      <c r="F132" s="82" t="s">
        <v>949</v>
      </c>
      <c r="G132" s="82" t="s">
        <v>658</v>
      </c>
      <c r="H132" s="82">
        <v>1</v>
      </c>
      <c r="I132" s="82">
        <v>99481.188181818186</v>
      </c>
      <c r="J132" s="91" t="s">
        <v>939</v>
      </c>
      <c r="K132" s="91" t="s">
        <v>659</v>
      </c>
      <c r="L132" s="91">
        <v>1</v>
      </c>
      <c r="M132" s="91">
        <v>99481.188181818201</v>
      </c>
      <c r="N132" s="82"/>
      <c r="O132" s="82"/>
      <c r="P132" s="82"/>
      <c r="Q132" s="82"/>
      <c r="R132" s="91"/>
      <c r="S132" s="91"/>
      <c r="T132" s="91"/>
      <c r="U132" s="91"/>
      <c r="V132" s="82"/>
      <c r="W132" s="82"/>
      <c r="X132" s="82"/>
      <c r="Y132" s="82"/>
      <c r="Z132" s="91"/>
      <c r="AA132" s="91"/>
      <c r="AB132" s="91"/>
      <c r="AC132" s="91"/>
      <c r="AD132" s="82"/>
      <c r="AE132" s="82"/>
      <c r="AF132" s="82"/>
      <c r="AG132" s="82"/>
      <c r="AH132" s="91"/>
      <c r="AI132" s="91"/>
      <c r="AJ132" s="91"/>
      <c r="AK132" s="91"/>
      <c r="AL132" s="82"/>
      <c r="AM132" s="82"/>
      <c r="AN132" s="82"/>
      <c r="AO132" s="82"/>
      <c r="AP132" s="91"/>
      <c r="AQ132" s="91"/>
      <c r="AR132" s="91"/>
      <c r="AS132" s="91"/>
      <c r="AT132" s="82"/>
      <c r="AU132" s="82"/>
      <c r="AV132" s="82"/>
      <c r="AW132" s="82"/>
      <c r="AX132" s="91"/>
      <c r="AY132" s="91"/>
      <c r="AZ132" s="91"/>
      <c r="BA132" s="91"/>
      <c r="BB132" s="82"/>
      <c r="BC132" s="82"/>
      <c r="BD132" s="82"/>
      <c r="BE132" s="82"/>
      <c r="BF132" s="91"/>
      <c r="BG132" s="91"/>
      <c r="BH132" s="91"/>
      <c r="BI132" s="91"/>
      <c r="BJ132" s="82"/>
      <c r="BK132" s="82"/>
      <c r="BL132" s="82"/>
      <c r="BM132" s="82"/>
      <c r="BN132" s="91"/>
      <c r="BO132" s="91"/>
      <c r="BP132" s="91"/>
      <c r="BQ132" s="91"/>
      <c r="BR132" s="82"/>
      <c r="BS132" s="82"/>
      <c r="BT132" s="82"/>
      <c r="BU132" s="82"/>
      <c r="BV132" s="91"/>
      <c r="BW132" s="91"/>
      <c r="BX132" s="91"/>
      <c r="BY132" s="91"/>
      <c r="BZ132" s="82"/>
      <c r="CA132" s="82"/>
      <c r="CB132" s="82"/>
      <c r="CC132" s="82"/>
      <c r="CD132" s="91"/>
      <c r="CE132" s="91"/>
      <c r="CF132" s="91"/>
      <c r="CG132" s="91"/>
      <c r="CH132" s="82"/>
      <c r="CI132" s="82"/>
      <c r="CJ132" s="82"/>
      <c r="CK132" s="82"/>
      <c r="CL132" s="91"/>
      <c r="CM132" s="91"/>
      <c r="CN132" s="91"/>
      <c r="CO132" s="91"/>
      <c r="CP132" s="82"/>
      <c r="CQ132" s="82"/>
      <c r="CR132" s="82"/>
      <c r="CS132" s="82"/>
      <c r="CT132" s="91"/>
      <c r="CU132" s="91"/>
      <c r="CV132" s="91"/>
      <c r="CW132" s="91"/>
      <c r="CX132" s="82"/>
      <c r="CY132" s="82"/>
      <c r="CZ132" s="82"/>
      <c r="DA132" s="82"/>
      <c r="DB132" s="91">
        <v>99481.188181818186</v>
      </c>
      <c r="DC132" s="82">
        <v>198962.3763636364</v>
      </c>
      <c r="DD132" s="91"/>
      <c r="DE132" s="101"/>
    </row>
    <row r="133" spans="1:109" x14ac:dyDescent="0.2">
      <c r="A133" s="14">
        <v>125</v>
      </c>
      <c r="B133" s="28" t="s">
        <v>162</v>
      </c>
      <c r="C133" s="14" t="s">
        <v>751</v>
      </c>
      <c r="D133" s="22"/>
      <c r="E133" s="24"/>
      <c r="F133" s="82"/>
      <c r="G133" s="82"/>
      <c r="H133" s="82"/>
      <c r="I133" s="82"/>
      <c r="J133" s="91"/>
      <c r="K133" s="91"/>
      <c r="L133" s="91"/>
      <c r="M133" s="91"/>
      <c r="N133" s="82"/>
      <c r="O133" s="82"/>
      <c r="P133" s="82"/>
      <c r="Q133" s="82"/>
      <c r="R133" s="91"/>
      <c r="S133" s="91"/>
      <c r="T133" s="91"/>
      <c r="U133" s="91"/>
      <c r="V133" s="82"/>
      <c r="W133" s="82"/>
      <c r="X133" s="82"/>
      <c r="Y133" s="82"/>
      <c r="Z133" s="91"/>
      <c r="AA133" s="91"/>
      <c r="AB133" s="91"/>
      <c r="AC133" s="91"/>
      <c r="AD133" s="82"/>
      <c r="AE133" s="82"/>
      <c r="AF133" s="82"/>
      <c r="AG133" s="82"/>
      <c r="AH133" s="91"/>
      <c r="AI133" s="91"/>
      <c r="AJ133" s="91"/>
      <c r="AK133" s="91"/>
      <c r="AL133" s="82"/>
      <c r="AM133" s="82"/>
      <c r="AN133" s="82"/>
      <c r="AO133" s="82"/>
      <c r="AP133" s="91"/>
      <c r="AQ133" s="91"/>
      <c r="AR133" s="91"/>
      <c r="AS133" s="91"/>
      <c r="AT133" s="82"/>
      <c r="AU133" s="82"/>
      <c r="AV133" s="82"/>
      <c r="AW133" s="82"/>
      <c r="AX133" s="91"/>
      <c r="AY133" s="91"/>
      <c r="AZ133" s="91"/>
      <c r="BA133" s="91"/>
      <c r="BB133" s="82"/>
      <c r="BC133" s="82"/>
      <c r="BD133" s="82"/>
      <c r="BE133" s="82"/>
      <c r="BF133" s="91"/>
      <c r="BG133" s="91"/>
      <c r="BH133" s="91"/>
      <c r="BI133" s="91"/>
      <c r="BJ133" s="82"/>
      <c r="BK133" s="82"/>
      <c r="BL133" s="82"/>
      <c r="BM133" s="82"/>
      <c r="BN133" s="91"/>
      <c r="BO133" s="91"/>
      <c r="BP133" s="91"/>
      <c r="BQ133" s="91"/>
      <c r="BR133" s="82"/>
      <c r="BS133" s="82"/>
      <c r="BT133" s="82"/>
      <c r="BU133" s="82"/>
      <c r="BV133" s="91"/>
      <c r="BW133" s="91"/>
      <c r="BX133" s="91"/>
      <c r="BY133" s="91"/>
      <c r="BZ133" s="82"/>
      <c r="CA133" s="82"/>
      <c r="CB133" s="82"/>
      <c r="CC133" s="82"/>
      <c r="CD133" s="91"/>
      <c r="CE133" s="91"/>
      <c r="CF133" s="91"/>
      <c r="CG133" s="91"/>
      <c r="CH133" s="82"/>
      <c r="CI133" s="82"/>
      <c r="CJ133" s="82"/>
      <c r="CK133" s="82"/>
      <c r="CL133" s="91"/>
      <c r="CM133" s="91"/>
      <c r="CN133" s="91"/>
      <c r="CO133" s="91"/>
      <c r="CP133" s="82"/>
      <c r="CQ133" s="82"/>
      <c r="CR133" s="82"/>
      <c r="CS133" s="82"/>
      <c r="CT133" s="91"/>
      <c r="CU133" s="91"/>
      <c r="CV133" s="91"/>
      <c r="CW133" s="91"/>
      <c r="CX133" s="82"/>
      <c r="CY133" s="82"/>
      <c r="CZ133" s="82"/>
      <c r="DA133" s="82"/>
      <c r="DB133" s="91"/>
      <c r="DC133" s="82"/>
      <c r="DD133" s="91"/>
      <c r="DE133" s="101"/>
    </row>
    <row r="134" spans="1:109" x14ac:dyDescent="0.2">
      <c r="A134" s="14">
        <v>126</v>
      </c>
      <c r="B134" s="28" t="s">
        <v>164</v>
      </c>
      <c r="C134" s="14" t="s">
        <v>752</v>
      </c>
      <c r="D134" s="22"/>
      <c r="E134" s="24"/>
      <c r="F134" s="82"/>
      <c r="G134" s="82"/>
      <c r="H134" s="82"/>
      <c r="I134" s="82"/>
      <c r="J134" s="91"/>
      <c r="K134" s="91"/>
      <c r="L134" s="91"/>
      <c r="M134" s="91"/>
      <c r="N134" s="82"/>
      <c r="O134" s="82"/>
      <c r="P134" s="82"/>
      <c r="Q134" s="82"/>
      <c r="R134" s="91"/>
      <c r="S134" s="91"/>
      <c r="T134" s="91"/>
      <c r="U134" s="91"/>
      <c r="V134" s="82"/>
      <c r="W134" s="82"/>
      <c r="X134" s="82"/>
      <c r="Y134" s="82"/>
      <c r="Z134" s="91"/>
      <c r="AA134" s="91"/>
      <c r="AB134" s="91"/>
      <c r="AC134" s="91"/>
      <c r="AD134" s="82"/>
      <c r="AE134" s="82"/>
      <c r="AF134" s="82"/>
      <c r="AG134" s="82"/>
      <c r="AH134" s="91"/>
      <c r="AI134" s="91"/>
      <c r="AJ134" s="91"/>
      <c r="AK134" s="91"/>
      <c r="AL134" s="82"/>
      <c r="AM134" s="82"/>
      <c r="AN134" s="82"/>
      <c r="AO134" s="82"/>
      <c r="AP134" s="91"/>
      <c r="AQ134" s="91"/>
      <c r="AR134" s="91"/>
      <c r="AS134" s="91"/>
      <c r="AT134" s="82"/>
      <c r="AU134" s="82"/>
      <c r="AV134" s="82"/>
      <c r="AW134" s="82"/>
      <c r="AX134" s="91"/>
      <c r="AY134" s="91"/>
      <c r="AZ134" s="91"/>
      <c r="BA134" s="91"/>
      <c r="BB134" s="82"/>
      <c r="BC134" s="82"/>
      <c r="BD134" s="82"/>
      <c r="BE134" s="82"/>
      <c r="BF134" s="91"/>
      <c r="BG134" s="91"/>
      <c r="BH134" s="91"/>
      <c r="BI134" s="91"/>
      <c r="BJ134" s="82"/>
      <c r="BK134" s="82"/>
      <c r="BL134" s="82"/>
      <c r="BM134" s="82"/>
      <c r="BN134" s="91"/>
      <c r="BO134" s="91"/>
      <c r="BP134" s="91"/>
      <c r="BQ134" s="91"/>
      <c r="BR134" s="82"/>
      <c r="BS134" s="82"/>
      <c r="BT134" s="82"/>
      <c r="BU134" s="82"/>
      <c r="BV134" s="91"/>
      <c r="BW134" s="91"/>
      <c r="BX134" s="91"/>
      <c r="BY134" s="91"/>
      <c r="BZ134" s="82"/>
      <c r="CA134" s="82"/>
      <c r="CB134" s="82"/>
      <c r="CC134" s="82"/>
      <c r="CD134" s="91"/>
      <c r="CE134" s="91"/>
      <c r="CF134" s="91"/>
      <c r="CG134" s="91"/>
      <c r="CH134" s="82"/>
      <c r="CI134" s="82"/>
      <c r="CJ134" s="82"/>
      <c r="CK134" s="82"/>
      <c r="CL134" s="91"/>
      <c r="CM134" s="91"/>
      <c r="CN134" s="91"/>
      <c r="CO134" s="91"/>
      <c r="CP134" s="82"/>
      <c r="CQ134" s="82"/>
      <c r="CR134" s="82"/>
      <c r="CS134" s="82"/>
      <c r="CT134" s="91"/>
      <c r="CU134" s="91"/>
      <c r="CV134" s="91"/>
      <c r="CW134" s="91"/>
      <c r="CX134" s="82"/>
      <c r="CY134" s="82"/>
      <c r="CZ134" s="82"/>
      <c r="DA134" s="82"/>
      <c r="DB134" s="91"/>
      <c r="DC134" s="82"/>
      <c r="DD134" s="91"/>
      <c r="DE134" s="101"/>
    </row>
    <row r="135" spans="1:109" x14ac:dyDescent="0.2">
      <c r="A135" s="14">
        <v>127</v>
      </c>
      <c r="B135" s="28" t="s">
        <v>165</v>
      </c>
      <c r="C135" s="14" t="s">
        <v>753</v>
      </c>
      <c r="D135" s="22"/>
      <c r="E135" s="24"/>
      <c r="F135" s="82"/>
      <c r="G135" s="82"/>
      <c r="H135" s="82"/>
      <c r="I135" s="82"/>
      <c r="J135" s="91"/>
      <c r="K135" s="91"/>
      <c r="L135" s="91"/>
      <c r="M135" s="91"/>
      <c r="N135" s="82"/>
      <c r="O135" s="82"/>
      <c r="P135" s="82"/>
      <c r="Q135" s="82"/>
      <c r="R135" s="91"/>
      <c r="S135" s="91"/>
      <c r="T135" s="91"/>
      <c r="U135" s="91"/>
      <c r="V135" s="82"/>
      <c r="W135" s="82"/>
      <c r="X135" s="82"/>
      <c r="Y135" s="82"/>
      <c r="Z135" s="91"/>
      <c r="AA135" s="91"/>
      <c r="AB135" s="91"/>
      <c r="AC135" s="91"/>
      <c r="AD135" s="82"/>
      <c r="AE135" s="82"/>
      <c r="AF135" s="82"/>
      <c r="AG135" s="82"/>
      <c r="AH135" s="91"/>
      <c r="AI135" s="91"/>
      <c r="AJ135" s="91"/>
      <c r="AK135" s="91"/>
      <c r="AL135" s="82"/>
      <c r="AM135" s="82"/>
      <c r="AN135" s="82"/>
      <c r="AO135" s="82"/>
      <c r="AP135" s="91"/>
      <c r="AQ135" s="91"/>
      <c r="AR135" s="91"/>
      <c r="AS135" s="91"/>
      <c r="AT135" s="82"/>
      <c r="AU135" s="82"/>
      <c r="AV135" s="82"/>
      <c r="AW135" s="82"/>
      <c r="AX135" s="91"/>
      <c r="AY135" s="91"/>
      <c r="AZ135" s="91"/>
      <c r="BA135" s="91"/>
      <c r="BB135" s="82"/>
      <c r="BC135" s="82"/>
      <c r="BD135" s="82"/>
      <c r="BE135" s="82"/>
      <c r="BF135" s="91"/>
      <c r="BG135" s="91"/>
      <c r="BH135" s="91"/>
      <c r="BI135" s="91"/>
      <c r="BJ135" s="82"/>
      <c r="BK135" s="82"/>
      <c r="BL135" s="82"/>
      <c r="BM135" s="82"/>
      <c r="BN135" s="91"/>
      <c r="BO135" s="91"/>
      <c r="BP135" s="91"/>
      <c r="BQ135" s="91"/>
      <c r="BR135" s="82"/>
      <c r="BS135" s="82"/>
      <c r="BT135" s="82"/>
      <c r="BU135" s="82"/>
      <c r="BV135" s="91"/>
      <c r="BW135" s="91"/>
      <c r="BX135" s="91"/>
      <c r="BY135" s="91"/>
      <c r="BZ135" s="82"/>
      <c r="CA135" s="82"/>
      <c r="CB135" s="82"/>
      <c r="CC135" s="82"/>
      <c r="CD135" s="91"/>
      <c r="CE135" s="91"/>
      <c r="CF135" s="91"/>
      <c r="CG135" s="91"/>
      <c r="CH135" s="82"/>
      <c r="CI135" s="82"/>
      <c r="CJ135" s="82"/>
      <c r="CK135" s="82"/>
      <c r="CL135" s="91"/>
      <c r="CM135" s="91"/>
      <c r="CN135" s="91"/>
      <c r="CO135" s="91"/>
      <c r="CP135" s="82"/>
      <c r="CQ135" s="82"/>
      <c r="CR135" s="82"/>
      <c r="CS135" s="82"/>
      <c r="CT135" s="91"/>
      <c r="CU135" s="91"/>
      <c r="CV135" s="91"/>
      <c r="CW135" s="91"/>
      <c r="CX135" s="82"/>
      <c r="CY135" s="82"/>
      <c r="CZ135" s="82"/>
      <c r="DA135" s="82"/>
      <c r="DB135" s="91"/>
      <c r="DC135" s="82"/>
      <c r="DD135" s="91"/>
      <c r="DE135" s="101"/>
    </row>
    <row r="136" spans="1:109" x14ac:dyDescent="0.2">
      <c r="A136" s="14">
        <v>128</v>
      </c>
      <c r="B136" s="28" t="s">
        <v>167</v>
      </c>
      <c r="C136" s="14" t="s">
        <v>768</v>
      </c>
      <c r="D136" s="22"/>
      <c r="E136" s="24"/>
      <c r="F136" s="82" t="s">
        <v>939</v>
      </c>
      <c r="G136" s="82" t="s">
        <v>657</v>
      </c>
      <c r="H136" s="82">
        <v>1.3874999999999997</v>
      </c>
      <c r="I136" s="82">
        <v>105552.46624431816</v>
      </c>
      <c r="J136" s="91" t="s">
        <v>952</v>
      </c>
      <c r="K136" s="91" t="s">
        <v>662</v>
      </c>
      <c r="L136" s="91">
        <v>0.1887500000000002</v>
      </c>
      <c r="M136" s="91">
        <v>14358.939101704553</v>
      </c>
      <c r="N136" s="82"/>
      <c r="O136" s="82"/>
      <c r="P136" s="82"/>
      <c r="Q136" s="82"/>
      <c r="R136" s="91"/>
      <c r="S136" s="91"/>
      <c r="T136" s="91"/>
      <c r="U136" s="91"/>
      <c r="V136" s="82"/>
      <c r="W136" s="82"/>
      <c r="X136" s="82"/>
      <c r="Y136" s="82"/>
      <c r="Z136" s="91"/>
      <c r="AA136" s="91"/>
      <c r="AB136" s="91"/>
      <c r="AC136" s="91"/>
      <c r="AD136" s="82"/>
      <c r="AE136" s="82"/>
      <c r="AF136" s="82"/>
      <c r="AG136" s="82"/>
      <c r="AH136" s="91"/>
      <c r="AI136" s="91"/>
      <c r="AJ136" s="91"/>
      <c r="AK136" s="91"/>
      <c r="AL136" s="82"/>
      <c r="AM136" s="82"/>
      <c r="AN136" s="82"/>
      <c r="AO136" s="82"/>
      <c r="AP136" s="91"/>
      <c r="AQ136" s="91"/>
      <c r="AR136" s="91"/>
      <c r="AS136" s="91"/>
      <c r="AT136" s="82"/>
      <c r="AU136" s="82"/>
      <c r="AV136" s="82"/>
      <c r="AW136" s="82"/>
      <c r="AX136" s="91"/>
      <c r="AY136" s="91"/>
      <c r="AZ136" s="91"/>
      <c r="BA136" s="91"/>
      <c r="BB136" s="82"/>
      <c r="BC136" s="82"/>
      <c r="BD136" s="82"/>
      <c r="BE136" s="82"/>
      <c r="BF136" s="91"/>
      <c r="BG136" s="91"/>
      <c r="BH136" s="91"/>
      <c r="BI136" s="91"/>
      <c r="BJ136" s="82"/>
      <c r="BK136" s="82"/>
      <c r="BL136" s="82"/>
      <c r="BM136" s="82"/>
      <c r="BN136" s="91"/>
      <c r="BO136" s="91"/>
      <c r="BP136" s="91"/>
      <c r="BQ136" s="91"/>
      <c r="BR136" s="82"/>
      <c r="BS136" s="82"/>
      <c r="BT136" s="82"/>
      <c r="BU136" s="82"/>
      <c r="BV136" s="91"/>
      <c r="BW136" s="91"/>
      <c r="BX136" s="91"/>
      <c r="BY136" s="91"/>
      <c r="BZ136" s="82"/>
      <c r="CA136" s="82"/>
      <c r="CB136" s="82"/>
      <c r="CC136" s="82"/>
      <c r="CD136" s="91"/>
      <c r="CE136" s="91"/>
      <c r="CF136" s="91"/>
      <c r="CG136" s="91"/>
      <c r="CH136" s="82"/>
      <c r="CI136" s="82"/>
      <c r="CJ136" s="82"/>
      <c r="CK136" s="82"/>
      <c r="CL136" s="91"/>
      <c r="CM136" s="91"/>
      <c r="CN136" s="91"/>
      <c r="CO136" s="91"/>
      <c r="CP136" s="82"/>
      <c r="CQ136" s="82"/>
      <c r="CR136" s="82"/>
      <c r="CS136" s="82"/>
      <c r="CT136" s="91"/>
      <c r="CU136" s="91"/>
      <c r="CV136" s="91"/>
      <c r="CW136" s="91"/>
      <c r="CX136" s="82"/>
      <c r="CY136" s="82"/>
      <c r="CZ136" s="82"/>
      <c r="DA136" s="82"/>
      <c r="DB136" s="91">
        <v>76073.849545454548</v>
      </c>
      <c r="DC136" s="82">
        <v>119911.40534602272</v>
      </c>
      <c r="DD136" s="91"/>
      <c r="DE136" s="101"/>
    </row>
    <row r="137" spans="1:109" x14ac:dyDescent="0.2">
      <c r="A137" s="14">
        <v>129</v>
      </c>
      <c r="B137" s="28" t="s">
        <v>169</v>
      </c>
      <c r="C137" s="14" t="s">
        <v>754</v>
      </c>
      <c r="D137" s="22"/>
      <c r="E137" s="24"/>
      <c r="F137" s="82" t="s">
        <v>938</v>
      </c>
      <c r="G137" s="82" t="s">
        <v>959</v>
      </c>
      <c r="H137" s="82">
        <v>1</v>
      </c>
      <c r="I137" s="82">
        <v>99481.188181818186</v>
      </c>
      <c r="J137" s="91"/>
      <c r="K137" s="91"/>
      <c r="L137" s="91"/>
      <c r="M137" s="91"/>
      <c r="N137" s="82"/>
      <c r="O137" s="82"/>
      <c r="P137" s="82"/>
      <c r="Q137" s="82"/>
      <c r="R137" s="91"/>
      <c r="S137" s="91"/>
      <c r="T137" s="91"/>
      <c r="U137" s="91"/>
      <c r="V137" s="82"/>
      <c r="W137" s="82"/>
      <c r="X137" s="82"/>
      <c r="Y137" s="82"/>
      <c r="Z137" s="91"/>
      <c r="AA137" s="91"/>
      <c r="AB137" s="91"/>
      <c r="AC137" s="91"/>
      <c r="AD137" s="82"/>
      <c r="AE137" s="82"/>
      <c r="AF137" s="82"/>
      <c r="AG137" s="82"/>
      <c r="AH137" s="91"/>
      <c r="AI137" s="91"/>
      <c r="AJ137" s="91"/>
      <c r="AK137" s="91"/>
      <c r="AL137" s="82"/>
      <c r="AM137" s="82"/>
      <c r="AN137" s="82"/>
      <c r="AO137" s="82"/>
      <c r="AP137" s="91"/>
      <c r="AQ137" s="91"/>
      <c r="AR137" s="91"/>
      <c r="AS137" s="91"/>
      <c r="AT137" s="82"/>
      <c r="AU137" s="82"/>
      <c r="AV137" s="82"/>
      <c r="AW137" s="82"/>
      <c r="AX137" s="91"/>
      <c r="AY137" s="91"/>
      <c r="AZ137" s="91"/>
      <c r="BA137" s="91"/>
      <c r="BB137" s="82"/>
      <c r="BC137" s="82"/>
      <c r="BD137" s="82"/>
      <c r="BE137" s="82"/>
      <c r="BF137" s="91"/>
      <c r="BG137" s="91"/>
      <c r="BH137" s="91"/>
      <c r="BI137" s="91"/>
      <c r="BJ137" s="82"/>
      <c r="BK137" s="82"/>
      <c r="BL137" s="82"/>
      <c r="BM137" s="82"/>
      <c r="BN137" s="91"/>
      <c r="BO137" s="91"/>
      <c r="BP137" s="91"/>
      <c r="BQ137" s="91"/>
      <c r="BR137" s="82"/>
      <c r="BS137" s="82"/>
      <c r="BT137" s="82"/>
      <c r="BU137" s="82"/>
      <c r="BV137" s="91"/>
      <c r="BW137" s="91"/>
      <c r="BX137" s="91"/>
      <c r="BY137" s="91"/>
      <c r="BZ137" s="82"/>
      <c r="CA137" s="82"/>
      <c r="CB137" s="82"/>
      <c r="CC137" s="82"/>
      <c r="CD137" s="91"/>
      <c r="CE137" s="91"/>
      <c r="CF137" s="91"/>
      <c r="CG137" s="91"/>
      <c r="CH137" s="82"/>
      <c r="CI137" s="82"/>
      <c r="CJ137" s="82"/>
      <c r="CK137" s="82"/>
      <c r="CL137" s="91"/>
      <c r="CM137" s="91"/>
      <c r="CN137" s="91"/>
      <c r="CO137" s="91"/>
      <c r="CP137" s="82"/>
      <c r="CQ137" s="82"/>
      <c r="CR137" s="82"/>
      <c r="CS137" s="82"/>
      <c r="CT137" s="91"/>
      <c r="CU137" s="91"/>
      <c r="CV137" s="91"/>
      <c r="CW137" s="91"/>
      <c r="CX137" s="82"/>
      <c r="CY137" s="82"/>
      <c r="CZ137" s="82"/>
      <c r="DA137" s="82"/>
      <c r="DB137" s="91">
        <v>99481.188181818186</v>
      </c>
      <c r="DC137" s="82">
        <v>99481.188181818186</v>
      </c>
      <c r="DD137" s="91"/>
      <c r="DE137" s="101"/>
    </row>
    <row r="138" spans="1:109" x14ac:dyDescent="0.2">
      <c r="A138" s="14">
        <v>130</v>
      </c>
      <c r="B138" s="28" t="s">
        <v>171</v>
      </c>
      <c r="C138" s="14" t="s">
        <v>755</v>
      </c>
      <c r="D138" s="22"/>
      <c r="E138" s="24"/>
      <c r="F138" s="82" t="s">
        <v>950</v>
      </c>
      <c r="G138" s="82" t="s">
        <v>662</v>
      </c>
      <c r="H138" s="82">
        <v>0.67499999999999982</v>
      </c>
      <c r="I138" s="82">
        <v>51349.848443181807</v>
      </c>
      <c r="J138" s="91" t="s">
        <v>952</v>
      </c>
      <c r="K138" s="91" t="s">
        <v>662</v>
      </c>
      <c r="L138" s="91">
        <v>0.26874999999999982</v>
      </c>
      <c r="M138" s="91">
        <v>20444.847065340884</v>
      </c>
      <c r="N138" s="82" t="s">
        <v>945</v>
      </c>
      <c r="O138" s="82" t="s">
        <v>662</v>
      </c>
      <c r="P138" s="82">
        <v>0.44499999999999984</v>
      </c>
      <c r="Q138" s="82">
        <v>33852.863047727245</v>
      </c>
      <c r="R138" s="91" t="s">
        <v>946</v>
      </c>
      <c r="S138" s="91" t="s">
        <v>662</v>
      </c>
      <c r="T138" s="91">
        <v>0.55750000000000011</v>
      </c>
      <c r="U138" s="91">
        <v>42411.171121590894</v>
      </c>
      <c r="V138" s="82"/>
      <c r="W138" s="82"/>
      <c r="X138" s="82"/>
      <c r="Y138" s="82"/>
      <c r="Z138" s="91"/>
      <c r="AA138" s="91"/>
      <c r="AB138" s="91"/>
      <c r="AC138" s="91"/>
      <c r="AD138" s="82"/>
      <c r="AE138" s="82"/>
      <c r="AF138" s="82"/>
      <c r="AG138" s="82"/>
      <c r="AH138" s="91"/>
      <c r="AI138" s="91"/>
      <c r="AJ138" s="91"/>
      <c r="AK138" s="91"/>
      <c r="AL138" s="82"/>
      <c r="AM138" s="82"/>
      <c r="AN138" s="82"/>
      <c r="AO138" s="82"/>
      <c r="AP138" s="91"/>
      <c r="AQ138" s="91"/>
      <c r="AR138" s="91"/>
      <c r="AS138" s="91"/>
      <c r="AT138" s="82"/>
      <c r="AU138" s="82"/>
      <c r="AV138" s="82"/>
      <c r="AW138" s="82"/>
      <c r="AX138" s="91"/>
      <c r="AY138" s="91"/>
      <c r="AZ138" s="91"/>
      <c r="BA138" s="91"/>
      <c r="BB138" s="82"/>
      <c r="BC138" s="82"/>
      <c r="BD138" s="82"/>
      <c r="BE138" s="82"/>
      <c r="BF138" s="91"/>
      <c r="BG138" s="91"/>
      <c r="BH138" s="91"/>
      <c r="BI138" s="91"/>
      <c r="BJ138" s="82"/>
      <c r="BK138" s="82"/>
      <c r="BL138" s="82"/>
      <c r="BM138" s="82"/>
      <c r="BN138" s="91"/>
      <c r="BO138" s="91"/>
      <c r="BP138" s="91"/>
      <c r="BQ138" s="91"/>
      <c r="BR138" s="82"/>
      <c r="BS138" s="82"/>
      <c r="BT138" s="82"/>
      <c r="BU138" s="82"/>
      <c r="BV138" s="91"/>
      <c r="BW138" s="91"/>
      <c r="BX138" s="91"/>
      <c r="BY138" s="91"/>
      <c r="BZ138" s="82"/>
      <c r="CA138" s="82"/>
      <c r="CB138" s="82"/>
      <c r="CC138" s="82"/>
      <c r="CD138" s="91"/>
      <c r="CE138" s="91"/>
      <c r="CF138" s="91"/>
      <c r="CG138" s="91"/>
      <c r="CH138" s="82"/>
      <c r="CI138" s="82"/>
      <c r="CJ138" s="82"/>
      <c r="CK138" s="82"/>
      <c r="CL138" s="91"/>
      <c r="CM138" s="91"/>
      <c r="CN138" s="91"/>
      <c r="CO138" s="91"/>
      <c r="CP138" s="82"/>
      <c r="CQ138" s="82"/>
      <c r="CR138" s="82"/>
      <c r="CS138" s="82"/>
      <c r="CT138" s="91"/>
      <c r="CU138" s="91"/>
      <c r="CV138" s="91"/>
      <c r="CW138" s="91"/>
      <c r="CX138" s="82"/>
      <c r="CY138" s="82"/>
      <c r="CZ138" s="82"/>
      <c r="DA138" s="82"/>
      <c r="DB138" s="91">
        <v>76073.849545454548</v>
      </c>
      <c r="DC138" s="82">
        <v>148058.72967784083</v>
      </c>
      <c r="DD138" s="91"/>
      <c r="DE138" s="101"/>
    </row>
    <row r="139" spans="1:109" x14ac:dyDescent="0.2">
      <c r="A139" s="14">
        <v>131</v>
      </c>
      <c r="B139" s="28" t="s">
        <v>175</v>
      </c>
      <c r="C139" s="14" t="s">
        <v>756</v>
      </c>
      <c r="D139" s="22"/>
      <c r="E139" s="24"/>
      <c r="F139" s="82" t="s">
        <v>954</v>
      </c>
      <c r="G139" s="82" t="s">
        <v>657</v>
      </c>
      <c r="H139" s="82">
        <v>1</v>
      </c>
      <c r="I139" s="82">
        <v>76073.849545454548</v>
      </c>
      <c r="J139" s="91" t="s">
        <v>951</v>
      </c>
      <c r="K139" s="91" t="s">
        <v>657</v>
      </c>
      <c r="L139" s="91">
        <v>1</v>
      </c>
      <c r="M139" s="91">
        <v>76073.849545454548</v>
      </c>
      <c r="N139" s="85" t="s">
        <v>941</v>
      </c>
      <c r="O139" s="86" t="s">
        <v>657</v>
      </c>
      <c r="P139" s="86">
        <v>1</v>
      </c>
      <c r="Q139" s="87">
        <v>76073.849545454548</v>
      </c>
      <c r="R139" s="91" t="s">
        <v>957</v>
      </c>
      <c r="S139" s="91" t="s">
        <v>662</v>
      </c>
      <c r="T139" s="91">
        <v>0.3137500000000002</v>
      </c>
      <c r="U139" s="91">
        <v>23868.170294886379</v>
      </c>
      <c r="V139" s="82" t="s">
        <v>947</v>
      </c>
      <c r="W139" s="82" t="s">
        <v>662</v>
      </c>
      <c r="X139" s="82">
        <v>0.12875000000000014</v>
      </c>
      <c r="Y139" s="82">
        <v>9794.5081289772843</v>
      </c>
      <c r="Z139" s="91" t="s">
        <v>960</v>
      </c>
      <c r="AA139" s="91" t="s">
        <v>662</v>
      </c>
      <c r="AB139" s="91">
        <v>0.17125000000000012</v>
      </c>
      <c r="AC139" s="91">
        <v>13027.646734659102</v>
      </c>
      <c r="AD139" s="82" t="s">
        <v>961</v>
      </c>
      <c r="AE139" s="82" t="s">
        <v>662</v>
      </c>
      <c r="AF139" s="82">
        <v>0.19874999999999998</v>
      </c>
      <c r="AG139" s="82">
        <v>15119.677597159091</v>
      </c>
      <c r="AH139" s="91" t="s">
        <v>946</v>
      </c>
      <c r="AI139" s="91" t="s">
        <v>662</v>
      </c>
      <c r="AJ139" s="91">
        <v>0.16875000000000018</v>
      </c>
      <c r="AK139" s="91">
        <v>12837.462110795468</v>
      </c>
      <c r="AL139" s="82"/>
      <c r="AM139" s="82"/>
      <c r="AN139" s="82"/>
      <c r="AO139" s="82"/>
      <c r="AP139" s="91"/>
      <c r="AQ139" s="91"/>
      <c r="AR139" s="91"/>
      <c r="AS139" s="91"/>
      <c r="AT139" s="82"/>
      <c r="AU139" s="82"/>
      <c r="AV139" s="82"/>
      <c r="AW139" s="82"/>
      <c r="AX139" s="91"/>
      <c r="AY139" s="91"/>
      <c r="AZ139" s="91"/>
      <c r="BA139" s="91"/>
      <c r="BB139" s="82"/>
      <c r="BC139" s="82"/>
      <c r="BD139" s="82"/>
      <c r="BE139" s="82"/>
      <c r="BF139" s="91"/>
      <c r="BG139" s="91"/>
      <c r="BH139" s="91"/>
      <c r="BI139" s="91"/>
      <c r="BJ139" s="82"/>
      <c r="BK139" s="82"/>
      <c r="BL139" s="82"/>
      <c r="BM139" s="82"/>
      <c r="BN139" s="91"/>
      <c r="BO139" s="91"/>
      <c r="BP139" s="91"/>
      <c r="BQ139" s="91"/>
      <c r="BR139" s="82"/>
      <c r="BS139" s="82"/>
      <c r="BT139" s="82"/>
      <c r="BU139" s="82"/>
      <c r="BV139" s="91"/>
      <c r="BW139" s="91"/>
      <c r="BX139" s="91"/>
      <c r="BY139" s="91"/>
      <c r="BZ139" s="82"/>
      <c r="CA139" s="82"/>
      <c r="CB139" s="82"/>
      <c r="CC139" s="82"/>
      <c r="CD139" s="91"/>
      <c r="CE139" s="91"/>
      <c r="CF139" s="91"/>
      <c r="CG139" s="91"/>
      <c r="CH139" s="82"/>
      <c r="CI139" s="82"/>
      <c r="CJ139" s="82"/>
      <c r="CK139" s="82"/>
      <c r="CL139" s="91"/>
      <c r="CM139" s="91"/>
      <c r="CN139" s="91"/>
      <c r="CO139" s="91"/>
      <c r="CP139" s="82"/>
      <c r="CQ139" s="82"/>
      <c r="CR139" s="82"/>
      <c r="CS139" s="82"/>
      <c r="CT139" s="91"/>
      <c r="CU139" s="91"/>
      <c r="CV139" s="91"/>
      <c r="CW139" s="91"/>
      <c r="CX139" s="82"/>
      <c r="CY139" s="82"/>
      <c r="CZ139" s="82"/>
      <c r="DA139" s="82"/>
      <c r="DB139" s="91">
        <v>76073.849545454548</v>
      </c>
      <c r="DC139" s="82">
        <v>302869.013502841</v>
      </c>
      <c r="DD139" s="91"/>
      <c r="DE139" s="101"/>
    </row>
    <row r="140" spans="1:109" x14ac:dyDescent="0.2">
      <c r="A140" s="14">
        <v>132</v>
      </c>
      <c r="B140" s="28" t="s">
        <v>178</v>
      </c>
      <c r="C140" s="14" t="s">
        <v>757</v>
      </c>
      <c r="D140" s="22"/>
      <c r="E140" s="24"/>
      <c r="F140" s="82" t="s">
        <v>939</v>
      </c>
      <c r="G140" s="82" t="s">
        <v>657</v>
      </c>
      <c r="H140" s="82">
        <v>1</v>
      </c>
      <c r="I140" s="82">
        <v>99481.188181818186</v>
      </c>
      <c r="J140" s="91"/>
      <c r="K140" s="91"/>
      <c r="L140" s="91"/>
      <c r="M140" s="91"/>
      <c r="N140" s="82"/>
      <c r="O140" s="82"/>
      <c r="P140" s="82"/>
      <c r="Q140" s="82"/>
      <c r="R140" s="91"/>
      <c r="S140" s="91"/>
      <c r="T140" s="91"/>
      <c r="U140" s="91"/>
      <c r="V140" s="82"/>
      <c r="W140" s="82"/>
      <c r="X140" s="82"/>
      <c r="Y140" s="82"/>
      <c r="Z140" s="91"/>
      <c r="AA140" s="91"/>
      <c r="AB140" s="91"/>
      <c r="AC140" s="91"/>
      <c r="AD140" s="82"/>
      <c r="AE140" s="82"/>
      <c r="AF140" s="82"/>
      <c r="AG140" s="82"/>
      <c r="AH140" s="91"/>
      <c r="AI140" s="91"/>
      <c r="AJ140" s="91"/>
      <c r="AK140" s="91"/>
      <c r="AL140" s="82"/>
      <c r="AM140" s="82"/>
      <c r="AN140" s="82"/>
      <c r="AO140" s="82"/>
      <c r="AP140" s="91"/>
      <c r="AQ140" s="91"/>
      <c r="AR140" s="91"/>
      <c r="AS140" s="91"/>
      <c r="AT140" s="82"/>
      <c r="AU140" s="82"/>
      <c r="AV140" s="82"/>
      <c r="AW140" s="82"/>
      <c r="AX140" s="91"/>
      <c r="AY140" s="91"/>
      <c r="AZ140" s="91"/>
      <c r="BA140" s="91"/>
      <c r="BB140" s="82"/>
      <c r="BC140" s="82"/>
      <c r="BD140" s="82"/>
      <c r="BE140" s="82"/>
      <c r="BF140" s="91"/>
      <c r="BG140" s="91"/>
      <c r="BH140" s="91"/>
      <c r="BI140" s="91"/>
      <c r="BJ140" s="82"/>
      <c r="BK140" s="82"/>
      <c r="BL140" s="82"/>
      <c r="BM140" s="82"/>
      <c r="BN140" s="91"/>
      <c r="BO140" s="91"/>
      <c r="BP140" s="91"/>
      <c r="BQ140" s="91"/>
      <c r="BR140" s="82"/>
      <c r="BS140" s="82"/>
      <c r="BT140" s="82"/>
      <c r="BU140" s="82"/>
      <c r="BV140" s="91"/>
      <c r="BW140" s="91"/>
      <c r="BX140" s="91"/>
      <c r="BY140" s="91"/>
      <c r="BZ140" s="82"/>
      <c r="CA140" s="82"/>
      <c r="CB140" s="82"/>
      <c r="CC140" s="82"/>
      <c r="CD140" s="91"/>
      <c r="CE140" s="91"/>
      <c r="CF140" s="91"/>
      <c r="CG140" s="91"/>
      <c r="CH140" s="82"/>
      <c r="CI140" s="82"/>
      <c r="CJ140" s="82"/>
      <c r="CK140" s="82"/>
      <c r="CL140" s="91"/>
      <c r="CM140" s="91"/>
      <c r="CN140" s="91"/>
      <c r="CO140" s="91"/>
      <c r="CP140" s="82"/>
      <c r="CQ140" s="82"/>
      <c r="CR140" s="82"/>
      <c r="CS140" s="82"/>
      <c r="CT140" s="91"/>
      <c r="CU140" s="91"/>
      <c r="CV140" s="91"/>
      <c r="CW140" s="91"/>
      <c r="CX140" s="82"/>
      <c r="CY140" s="82"/>
      <c r="CZ140" s="82"/>
      <c r="DA140" s="82"/>
      <c r="DB140" s="91">
        <v>99481.188181818186</v>
      </c>
      <c r="DC140" s="82">
        <v>99481.188181818186</v>
      </c>
      <c r="DD140" s="91"/>
      <c r="DE140" s="101"/>
    </row>
    <row r="141" spans="1:109" x14ac:dyDescent="0.2">
      <c r="A141" s="14">
        <v>133</v>
      </c>
      <c r="B141" s="28" t="s">
        <v>186</v>
      </c>
      <c r="C141" s="14" t="s">
        <v>758</v>
      </c>
      <c r="D141" s="22"/>
      <c r="E141" s="24"/>
      <c r="F141" s="82"/>
      <c r="G141" s="82"/>
      <c r="H141" s="82"/>
      <c r="I141" s="82"/>
      <c r="J141" s="91"/>
      <c r="K141" s="91"/>
      <c r="L141" s="91"/>
      <c r="M141" s="91"/>
      <c r="N141" s="82"/>
      <c r="O141" s="82"/>
      <c r="P141" s="82"/>
      <c r="Q141" s="82"/>
      <c r="R141" s="91"/>
      <c r="S141" s="91"/>
      <c r="T141" s="91"/>
      <c r="U141" s="91"/>
      <c r="V141" s="82"/>
      <c r="W141" s="82"/>
      <c r="X141" s="82"/>
      <c r="Y141" s="82"/>
      <c r="Z141" s="91"/>
      <c r="AA141" s="91"/>
      <c r="AB141" s="91"/>
      <c r="AC141" s="91"/>
      <c r="AD141" s="82"/>
      <c r="AE141" s="82"/>
      <c r="AF141" s="82"/>
      <c r="AG141" s="82"/>
      <c r="AH141" s="91"/>
      <c r="AI141" s="91"/>
      <c r="AJ141" s="91"/>
      <c r="AK141" s="91"/>
      <c r="AL141" s="82"/>
      <c r="AM141" s="82"/>
      <c r="AN141" s="82"/>
      <c r="AO141" s="82"/>
      <c r="AP141" s="91"/>
      <c r="AQ141" s="91"/>
      <c r="AR141" s="91"/>
      <c r="AS141" s="91"/>
      <c r="AT141" s="82"/>
      <c r="AU141" s="82"/>
      <c r="AV141" s="82"/>
      <c r="AW141" s="82"/>
      <c r="AX141" s="91"/>
      <c r="AY141" s="91"/>
      <c r="AZ141" s="91"/>
      <c r="BA141" s="91"/>
      <c r="BB141" s="82"/>
      <c r="BC141" s="82"/>
      <c r="BD141" s="82"/>
      <c r="BE141" s="82"/>
      <c r="BF141" s="91"/>
      <c r="BG141" s="91"/>
      <c r="BH141" s="91"/>
      <c r="BI141" s="91"/>
      <c r="BJ141" s="82"/>
      <c r="BK141" s="82"/>
      <c r="BL141" s="82"/>
      <c r="BM141" s="82"/>
      <c r="BN141" s="91"/>
      <c r="BO141" s="91"/>
      <c r="BP141" s="91"/>
      <c r="BQ141" s="91"/>
      <c r="BR141" s="82"/>
      <c r="BS141" s="82"/>
      <c r="BT141" s="82"/>
      <c r="BU141" s="82"/>
      <c r="BV141" s="91"/>
      <c r="BW141" s="91"/>
      <c r="BX141" s="91"/>
      <c r="BY141" s="91"/>
      <c r="BZ141" s="82"/>
      <c r="CA141" s="82"/>
      <c r="CB141" s="82"/>
      <c r="CC141" s="82"/>
      <c r="CD141" s="91"/>
      <c r="CE141" s="91"/>
      <c r="CF141" s="91"/>
      <c r="CG141" s="91"/>
      <c r="CH141" s="82"/>
      <c r="CI141" s="82"/>
      <c r="CJ141" s="82"/>
      <c r="CK141" s="82"/>
      <c r="CL141" s="91"/>
      <c r="CM141" s="91"/>
      <c r="CN141" s="91"/>
      <c r="CO141" s="91"/>
      <c r="CP141" s="82"/>
      <c r="CQ141" s="82"/>
      <c r="CR141" s="82"/>
      <c r="CS141" s="82"/>
      <c r="CT141" s="91"/>
      <c r="CU141" s="91"/>
      <c r="CV141" s="91"/>
      <c r="CW141" s="91"/>
      <c r="CX141" s="82"/>
      <c r="CY141" s="82"/>
      <c r="CZ141" s="82"/>
      <c r="DA141" s="82"/>
      <c r="DB141" s="91"/>
      <c r="DC141" s="82"/>
      <c r="DD141" s="91"/>
      <c r="DE141" s="101"/>
    </row>
    <row r="142" spans="1:109" x14ac:dyDescent="0.2">
      <c r="A142" s="14">
        <v>134</v>
      </c>
      <c r="B142" s="28" t="s">
        <v>188</v>
      </c>
      <c r="C142" s="14" t="s">
        <v>759</v>
      </c>
      <c r="D142" s="22"/>
      <c r="E142" s="24"/>
      <c r="F142" s="82" t="s">
        <v>942</v>
      </c>
      <c r="G142" s="82" t="s">
        <v>662</v>
      </c>
      <c r="H142" s="82">
        <v>0.1549999999999998</v>
      </c>
      <c r="I142" s="82">
        <v>11791.446679545441</v>
      </c>
      <c r="J142" s="91" t="s">
        <v>948</v>
      </c>
      <c r="K142" s="91" t="s">
        <v>662</v>
      </c>
      <c r="L142" s="91">
        <v>0.26374999999999993</v>
      </c>
      <c r="M142" s="91">
        <v>20064.477817613631</v>
      </c>
      <c r="N142" s="82" t="s">
        <v>956</v>
      </c>
      <c r="O142" s="82" t="s">
        <v>662</v>
      </c>
      <c r="P142" s="82">
        <v>0.38624999999999998</v>
      </c>
      <c r="Q142" s="82">
        <v>29383.524386931818</v>
      </c>
      <c r="R142" s="91" t="s">
        <v>958</v>
      </c>
      <c r="S142" s="91" t="s">
        <v>662</v>
      </c>
      <c r="T142" s="91">
        <v>0.53500000000000014</v>
      </c>
      <c r="U142" s="91">
        <v>40699.509506818191</v>
      </c>
      <c r="V142" s="82"/>
      <c r="W142" s="82"/>
      <c r="X142" s="82"/>
      <c r="Y142" s="82"/>
      <c r="Z142" s="91"/>
      <c r="AA142" s="91"/>
      <c r="AB142" s="91"/>
      <c r="AC142" s="91"/>
      <c r="AD142" s="82"/>
      <c r="AE142" s="82"/>
      <c r="AF142" s="82"/>
      <c r="AG142" s="82"/>
      <c r="AH142" s="91"/>
      <c r="AI142" s="91"/>
      <c r="AJ142" s="91"/>
      <c r="AK142" s="91"/>
      <c r="AL142" s="82"/>
      <c r="AM142" s="82"/>
      <c r="AN142" s="82"/>
      <c r="AO142" s="82"/>
      <c r="AP142" s="91"/>
      <c r="AQ142" s="91"/>
      <c r="AR142" s="91"/>
      <c r="AS142" s="91"/>
      <c r="AT142" s="82"/>
      <c r="AU142" s="82"/>
      <c r="AV142" s="82"/>
      <c r="AW142" s="82"/>
      <c r="AX142" s="91"/>
      <c r="AY142" s="91"/>
      <c r="AZ142" s="91"/>
      <c r="BA142" s="91"/>
      <c r="BB142" s="82"/>
      <c r="BC142" s="82"/>
      <c r="BD142" s="82"/>
      <c r="BE142" s="82"/>
      <c r="BF142" s="91"/>
      <c r="BG142" s="91"/>
      <c r="BH142" s="91"/>
      <c r="BI142" s="91"/>
      <c r="BJ142" s="82"/>
      <c r="BK142" s="82"/>
      <c r="BL142" s="82"/>
      <c r="BM142" s="82"/>
      <c r="BN142" s="91"/>
      <c r="BO142" s="91"/>
      <c r="BP142" s="91"/>
      <c r="BQ142" s="91"/>
      <c r="BR142" s="82"/>
      <c r="BS142" s="82"/>
      <c r="BT142" s="82"/>
      <c r="BU142" s="82"/>
      <c r="BV142" s="91"/>
      <c r="BW142" s="91"/>
      <c r="BX142" s="91"/>
      <c r="BY142" s="91"/>
      <c r="BZ142" s="82"/>
      <c r="CA142" s="82"/>
      <c r="CB142" s="82"/>
      <c r="CC142" s="82"/>
      <c r="CD142" s="91"/>
      <c r="CE142" s="91"/>
      <c r="CF142" s="91"/>
      <c r="CG142" s="91"/>
      <c r="CH142" s="82"/>
      <c r="CI142" s="82"/>
      <c r="CJ142" s="82"/>
      <c r="CK142" s="82"/>
      <c r="CL142" s="91"/>
      <c r="CM142" s="91"/>
      <c r="CN142" s="91"/>
      <c r="CO142" s="91"/>
      <c r="CP142" s="82"/>
      <c r="CQ142" s="82"/>
      <c r="CR142" s="82"/>
      <c r="CS142" s="82"/>
      <c r="CT142" s="91"/>
      <c r="CU142" s="91"/>
      <c r="CV142" s="91"/>
      <c r="CW142" s="91"/>
      <c r="CX142" s="82"/>
      <c r="CY142" s="82"/>
      <c r="CZ142" s="82"/>
      <c r="DA142" s="82"/>
      <c r="DB142" s="91">
        <v>76073.849545454548</v>
      </c>
      <c r="DC142" s="82">
        <v>101938.95839090907</v>
      </c>
      <c r="DD142" s="91"/>
      <c r="DE142" s="101"/>
    </row>
    <row r="143" spans="1:109" x14ac:dyDescent="0.2">
      <c r="A143" s="14">
        <v>135</v>
      </c>
      <c r="B143" s="53" t="s">
        <v>193</v>
      </c>
      <c r="C143" s="54" t="s">
        <v>760</v>
      </c>
      <c r="D143" s="22"/>
      <c r="E143" s="24"/>
      <c r="F143" s="82" t="s">
        <v>960</v>
      </c>
      <c r="G143" s="82" t="s">
        <v>659</v>
      </c>
      <c r="H143" s="82">
        <v>1</v>
      </c>
      <c r="I143" s="82">
        <v>99481.188181818186</v>
      </c>
      <c r="J143" s="91" t="s">
        <v>953</v>
      </c>
      <c r="K143" s="91" t="s">
        <v>658</v>
      </c>
      <c r="L143" s="91">
        <v>1</v>
      </c>
      <c r="M143" s="91">
        <v>99481.188181818201</v>
      </c>
      <c r="N143" s="82"/>
      <c r="O143" s="82"/>
      <c r="P143" s="82"/>
      <c r="Q143" s="82"/>
      <c r="R143" s="91"/>
      <c r="S143" s="91"/>
      <c r="T143" s="91"/>
      <c r="U143" s="91"/>
      <c r="V143" s="82"/>
      <c r="W143" s="82"/>
      <c r="X143" s="82"/>
      <c r="Y143" s="82"/>
      <c r="Z143" s="91"/>
      <c r="AA143" s="91"/>
      <c r="AB143" s="91"/>
      <c r="AC143" s="91"/>
      <c r="AD143" s="82"/>
      <c r="AE143" s="82"/>
      <c r="AF143" s="82"/>
      <c r="AG143" s="82"/>
      <c r="AH143" s="91"/>
      <c r="AI143" s="91"/>
      <c r="AJ143" s="91"/>
      <c r="AK143" s="91"/>
      <c r="AL143" s="82"/>
      <c r="AM143" s="82"/>
      <c r="AN143" s="82"/>
      <c r="AO143" s="82"/>
      <c r="AP143" s="91"/>
      <c r="AQ143" s="91"/>
      <c r="AR143" s="91"/>
      <c r="AS143" s="91"/>
      <c r="AT143" s="82"/>
      <c r="AU143" s="82"/>
      <c r="AV143" s="82"/>
      <c r="AW143" s="82"/>
      <c r="AX143" s="91"/>
      <c r="AY143" s="91"/>
      <c r="AZ143" s="91"/>
      <c r="BA143" s="91"/>
      <c r="BB143" s="82"/>
      <c r="BC143" s="82"/>
      <c r="BD143" s="82"/>
      <c r="BE143" s="82"/>
      <c r="BF143" s="91"/>
      <c r="BG143" s="91"/>
      <c r="BH143" s="91"/>
      <c r="BI143" s="91"/>
      <c r="BJ143" s="82"/>
      <c r="BK143" s="82"/>
      <c r="BL143" s="82"/>
      <c r="BM143" s="82"/>
      <c r="BN143" s="91"/>
      <c r="BO143" s="91"/>
      <c r="BP143" s="91"/>
      <c r="BQ143" s="91"/>
      <c r="BR143" s="82"/>
      <c r="BS143" s="82"/>
      <c r="BT143" s="82"/>
      <c r="BU143" s="82"/>
      <c r="BV143" s="91"/>
      <c r="BW143" s="91"/>
      <c r="BX143" s="91"/>
      <c r="BY143" s="91"/>
      <c r="BZ143" s="82"/>
      <c r="CA143" s="82"/>
      <c r="CB143" s="82"/>
      <c r="CC143" s="82"/>
      <c r="CD143" s="91"/>
      <c r="CE143" s="91"/>
      <c r="CF143" s="91"/>
      <c r="CG143" s="91"/>
      <c r="CH143" s="82"/>
      <c r="CI143" s="82"/>
      <c r="CJ143" s="82"/>
      <c r="CK143" s="82"/>
      <c r="CL143" s="91"/>
      <c r="CM143" s="91"/>
      <c r="CN143" s="91"/>
      <c r="CO143" s="91"/>
      <c r="CP143" s="82"/>
      <c r="CQ143" s="82"/>
      <c r="CR143" s="82"/>
      <c r="CS143" s="82"/>
      <c r="CT143" s="91"/>
      <c r="CU143" s="91"/>
      <c r="CV143" s="91"/>
      <c r="CW143" s="91"/>
      <c r="CX143" s="82"/>
      <c r="CY143" s="82"/>
      <c r="CZ143" s="82"/>
      <c r="DA143" s="82"/>
      <c r="DB143" s="91">
        <v>99481.188181818186</v>
      </c>
      <c r="DC143" s="82">
        <v>198962.3763636364</v>
      </c>
      <c r="DD143" s="91"/>
      <c r="DE143" s="101"/>
    </row>
    <row r="144" spans="1:109" x14ac:dyDescent="0.2">
      <c r="A144" s="14">
        <v>136</v>
      </c>
      <c r="B144" s="28" t="s">
        <v>195</v>
      </c>
      <c r="C144" s="14" t="s">
        <v>761</v>
      </c>
      <c r="D144" s="22"/>
      <c r="E144" s="24"/>
      <c r="F144" s="82" t="s">
        <v>953</v>
      </c>
      <c r="G144" s="82" t="s">
        <v>657</v>
      </c>
      <c r="H144" s="82">
        <v>1.35</v>
      </c>
      <c r="I144" s="82">
        <v>102699.69688636364</v>
      </c>
      <c r="J144" s="91"/>
      <c r="K144" s="91"/>
      <c r="L144" s="91"/>
      <c r="M144" s="91"/>
      <c r="N144" s="82"/>
      <c r="O144" s="82"/>
      <c r="P144" s="82"/>
      <c r="Q144" s="82"/>
      <c r="R144" s="91"/>
      <c r="S144" s="91"/>
      <c r="T144" s="91"/>
      <c r="U144" s="91"/>
      <c r="V144" s="82"/>
      <c r="W144" s="82"/>
      <c r="X144" s="82"/>
      <c r="Y144" s="82"/>
      <c r="Z144" s="91"/>
      <c r="AA144" s="91"/>
      <c r="AB144" s="91"/>
      <c r="AC144" s="91"/>
      <c r="AD144" s="82"/>
      <c r="AE144" s="82"/>
      <c r="AF144" s="82"/>
      <c r="AG144" s="82"/>
      <c r="AH144" s="91"/>
      <c r="AI144" s="91"/>
      <c r="AJ144" s="91"/>
      <c r="AK144" s="91"/>
      <c r="AL144" s="82"/>
      <c r="AM144" s="82"/>
      <c r="AN144" s="82"/>
      <c r="AO144" s="82"/>
      <c r="AP144" s="91"/>
      <c r="AQ144" s="91"/>
      <c r="AR144" s="91"/>
      <c r="AS144" s="91"/>
      <c r="AT144" s="82"/>
      <c r="AU144" s="82"/>
      <c r="AV144" s="82"/>
      <c r="AW144" s="82"/>
      <c r="AX144" s="91"/>
      <c r="AY144" s="91"/>
      <c r="AZ144" s="91"/>
      <c r="BA144" s="91"/>
      <c r="BB144" s="82"/>
      <c r="BC144" s="82"/>
      <c r="BD144" s="82"/>
      <c r="BE144" s="82"/>
      <c r="BF144" s="91"/>
      <c r="BG144" s="91"/>
      <c r="BH144" s="91"/>
      <c r="BI144" s="91"/>
      <c r="BJ144" s="82"/>
      <c r="BK144" s="82"/>
      <c r="BL144" s="82"/>
      <c r="BM144" s="82"/>
      <c r="BN144" s="91"/>
      <c r="BO144" s="91"/>
      <c r="BP144" s="91"/>
      <c r="BQ144" s="91"/>
      <c r="BR144" s="82"/>
      <c r="BS144" s="82"/>
      <c r="BT144" s="82"/>
      <c r="BU144" s="82"/>
      <c r="BV144" s="91"/>
      <c r="BW144" s="91"/>
      <c r="BX144" s="91"/>
      <c r="BY144" s="91"/>
      <c r="BZ144" s="82"/>
      <c r="CA144" s="82"/>
      <c r="CB144" s="82"/>
      <c r="CC144" s="82"/>
      <c r="CD144" s="91"/>
      <c r="CE144" s="91"/>
      <c r="CF144" s="91"/>
      <c r="CG144" s="91"/>
      <c r="CH144" s="82"/>
      <c r="CI144" s="82"/>
      <c r="CJ144" s="82"/>
      <c r="CK144" s="82"/>
      <c r="CL144" s="91"/>
      <c r="CM144" s="91"/>
      <c r="CN144" s="91"/>
      <c r="CO144" s="91"/>
      <c r="CP144" s="82"/>
      <c r="CQ144" s="82"/>
      <c r="CR144" s="82"/>
      <c r="CS144" s="82"/>
      <c r="CT144" s="91"/>
      <c r="CU144" s="91"/>
      <c r="CV144" s="91"/>
      <c r="CW144" s="91"/>
      <c r="CX144" s="82"/>
      <c r="CY144" s="82"/>
      <c r="CZ144" s="82"/>
      <c r="DA144" s="82"/>
      <c r="DB144" s="91">
        <v>76073.849545454548</v>
      </c>
      <c r="DC144" s="82">
        <v>102699.69688636364</v>
      </c>
      <c r="DD144" s="91"/>
      <c r="DE144" s="101"/>
    </row>
    <row r="145" spans="1:109" x14ac:dyDescent="0.2">
      <c r="A145" s="14">
        <v>137</v>
      </c>
      <c r="B145" s="28" t="s">
        <v>197</v>
      </c>
      <c r="C145" s="14" t="s">
        <v>762</v>
      </c>
      <c r="D145" s="22"/>
      <c r="E145" s="24"/>
      <c r="F145" s="82" t="s">
        <v>949</v>
      </c>
      <c r="G145" s="82" t="s">
        <v>659</v>
      </c>
      <c r="H145" s="82">
        <v>1</v>
      </c>
      <c r="I145" s="82">
        <v>99481.188181818186</v>
      </c>
      <c r="J145" s="91"/>
      <c r="K145" s="91"/>
      <c r="L145" s="91"/>
      <c r="M145" s="91"/>
      <c r="N145" s="82"/>
      <c r="O145" s="82"/>
      <c r="P145" s="82"/>
      <c r="Q145" s="82"/>
      <c r="R145" s="91"/>
      <c r="S145" s="91"/>
      <c r="T145" s="91"/>
      <c r="U145" s="91"/>
      <c r="V145" s="82"/>
      <c r="W145" s="82"/>
      <c r="X145" s="82"/>
      <c r="Y145" s="82"/>
      <c r="Z145" s="91"/>
      <c r="AA145" s="91"/>
      <c r="AB145" s="91"/>
      <c r="AC145" s="91"/>
      <c r="AD145" s="82"/>
      <c r="AE145" s="82"/>
      <c r="AF145" s="82"/>
      <c r="AG145" s="82"/>
      <c r="AH145" s="91"/>
      <c r="AI145" s="91"/>
      <c r="AJ145" s="91"/>
      <c r="AK145" s="91"/>
      <c r="AL145" s="82"/>
      <c r="AM145" s="82"/>
      <c r="AN145" s="82"/>
      <c r="AO145" s="82"/>
      <c r="AP145" s="91"/>
      <c r="AQ145" s="91"/>
      <c r="AR145" s="91"/>
      <c r="AS145" s="91"/>
      <c r="AT145" s="82"/>
      <c r="AU145" s="82"/>
      <c r="AV145" s="82"/>
      <c r="AW145" s="82"/>
      <c r="AX145" s="91"/>
      <c r="AY145" s="91"/>
      <c r="AZ145" s="91"/>
      <c r="BA145" s="91"/>
      <c r="BB145" s="82"/>
      <c r="BC145" s="82"/>
      <c r="BD145" s="82"/>
      <c r="BE145" s="82"/>
      <c r="BF145" s="91"/>
      <c r="BG145" s="91"/>
      <c r="BH145" s="91"/>
      <c r="BI145" s="91"/>
      <c r="BJ145" s="82"/>
      <c r="BK145" s="82"/>
      <c r="BL145" s="82"/>
      <c r="BM145" s="82"/>
      <c r="BN145" s="91"/>
      <c r="BO145" s="91"/>
      <c r="BP145" s="91"/>
      <c r="BQ145" s="91"/>
      <c r="BR145" s="82"/>
      <c r="BS145" s="82"/>
      <c r="BT145" s="82"/>
      <c r="BU145" s="82"/>
      <c r="BV145" s="91"/>
      <c r="BW145" s="91"/>
      <c r="BX145" s="91"/>
      <c r="BY145" s="91"/>
      <c r="BZ145" s="82"/>
      <c r="CA145" s="82"/>
      <c r="CB145" s="82"/>
      <c r="CC145" s="82"/>
      <c r="CD145" s="91"/>
      <c r="CE145" s="91"/>
      <c r="CF145" s="91"/>
      <c r="CG145" s="91"/>
      <c r="CH145" s="82"/>
      <c r="CI145" s="82"/>
      <c r="CJ145" s="82"/>
      <c r="CK145" s="82"/>
      <c r="CL145" s="91"/>
      <c r="CM145" s="91"/>
      <c r="CN145" s="91"/>
      <c r="CO145" s="91"/>
      <c r="CP145" s="82"/>
      <c r="CQ145" s="82"/>
      <c r="CR145" s="82"/>
      <c r="CS145" s="82"/>
      <c r="CT145" s="91"/>
      <c r="CU145" s="91"/>
      <c r="CV145" s="91"/>
      <c r="CW145" s="91"/>
      <c r="CX145" s="82"/>
      <c r="CY145" s="82"/>
      <c r="CZ145" s="82"/>
      <c r="DA145" s="82"/>
      <c r="DB145" s="91">
        <v>99481.188181818186</v>
      </c>
      <c r="DC145" s="82">
        <v>99481.188181818186</v>
      </c>
      <c r="DD145" s="91"/>
      <c r="DE145" s="101"/>
    </row>
    <row r="146" spans="1:109" x14ac:dyDescent="0.2">
      <c r="A146" s="14">
        <v>138</v>
      </c>
      <c r="B146" s="57" t="s">
        <v>199</v>
      </c>
      <c r="C146" s="55" t="s">
        <v>763</v>
      </c>
      <c r="D146" s="22"/>
      <c r="E146" s="24"/>
      <c r="F146" s="82"/>
      <c r="G146" s="82"/>
      <c r="H146" s="82"/>
      <c r="I146" s="82"/>
      <c r="J146" s="91"/>
      <c r="K146" s="91"/>
      <c r="L146" s="91"/>
      <c r="M146" s="91"/>
      <c r="N146" s="82"/>
      <c r="O146" s="82"/>
      <c r="P146" s="82"/>
      <c r="Q146" s="82"/>
      <c r="R146" s="91"/>
      <c r="S146" s="91"/>
      <c r="T146" s="91"/>
      <c r="U146" s="91"/>
      <c r="V146" s="82"/>
      <c r="W146" s="82"/>
      <c r="X146" s="82"/>
      <c r="Y146" s="82"/>
      <c r="Z146" s="91"/>
      <c r="AA146" s="91"/>
      <c r="AB146" s="91"/>
      <c r="AC146" s="91"/>
      <c r="AD146" s="82"/>
      <c r="AE146" s="82"/>
      <c r="AF146" s="82"/>
      <c r="AG146" s="82"/>
      <c r="AH146" s="91"/>
      <c r="AI146" s="91"/>
      <c r="AJ146" s="91"/>
      <c r="AK146" s="91"/>
      <c r="AL146" s="82"/>
      <c r="AM146" s="82"/>
      <c r="AN146" s="82"/>
      <c r="AO146" s="82"/>
      <c r="AP146" s="91"/>
      <c r="AQ146" s="91"/>
      <c r="AR146" s="91"/>
      <c r="AS146" s="91"/>
      <c r="AT146" s="82"/>
      <c r="AU146" s="82"/>
      <c r="AV146" s="82"/>
      <c r="AW146" s="82"/>
      <c r="AX146" s="91"/>
      <c r="AY146" s="91"/>
      <c r="AZ146" s="91"/>
      <c r="BA146" s="91"/>
      <c r="BB146" s="82"/>
      <c r="BC146" s="82"/>
      <c r="BD146" s="82"/>
      <c r="BE146" s="82"/>
      <c r="BF146" s="91"/>
      <c r="BG146" s="91"/>
      <c r="BH146" s="91"/>
      <c r="BI146" s="91"/>
      <c r="BJ146" s="82"/>
      <c r="BK146" s="82"/>
      <c r="BL146" s="82"/>
      <c r="BM146" s="82"/>
      <c r="BN146" s="91"/>
      <c r="BO146" s="91"/>
      <c r="BP146" s="91"/>
      <c r="BQ146" s="91"/>
      <c r="BR146" s="82"/>
      <c r="BS146" s="82"/>
      <c r="BT146" s="82"/>
      <c r="BU146" s="82"/>
      <c r="BV146" s="91"/>
      <c r="BW146" s="91"/>
      <c r="BX146" s="91"/>
      <c r="BY146" s="91"/>
      <c r="BZ146" s="82"/>
      <c r="CA146" s="82"/>
      <c r="CB146" s="82"/>
      <c r="CC146" s="82"/>
      <c r="CD146" s="91"/>
      <c r="CE146" s="91"/>
      <c r="CF146" s="91"/>
      <c r="CG146" s="91"/>
      <c r="CH146" s="82"/>
      <c r="CI146" s="82"/>
      <c r="CJ146" s="82"/>
      <c r="CK146" s="82"/>
      <c r="CL146" s="91"/>
      <c r="CM146" s="91"/>
      <c r="CN146" s="91"/>
      <c r="CO146" s="91"/>
      <c r="CP146" s="82"/>
      <c r="CQ146" s="82"/>
      <c r="CR146" s="82"/>
      <c r="CS146" s="82"/>
      <c r="CT146" s="91"/>
      <c r="CU146" s="91"/>
      <c r="CV146" s="91"/>
      <c r="CW146" s="91"/>
      <c r="CX146" s="82"/>
      <c r="CY146" s="82"/>
      <c r="CZ146" s="82"/>
      <c r="DA146" s="82"/>
      <c r="DB146" s="91"/>
      <c r="DC146" s="82"/>
      <c r="DD146" s="91"/>
      <c r="DE146" s="101"/>
    </row>
    <row r="147" spans="1:109" x14ac:dyDescent="0.2">
      <c r="A147" s="14">
        <v>139</v>
      </c>
      <c r="B147" s="28" t="s">
        <v>861</v>
      </c>
      <c r="C147" s="14" t="s">
        <v>805</v>
      </c>
      <c r="D147" s="22"/>
      <c r="E147" s="24"/>
      <c r="F147" s="82" t="s">
        <v>949</v>
      </c>
      <c r="G147" s="82" t="s">
        <v>657</v>
      </c>
      <c r="H147" s="82">
        <v>1</v>
      </c>
      <c r="I147" s="82">
        <v>99481.188181818186</v>
      </c>
      <c r="J147" s="91"/>
      <c r="K147" s="91"/>
      <c r="L147" s="91"/>
      <c r="M147" s="91"/>
      <c r="N147" s="82"/>
      <c r="O147" s="82"/>
      <c r="P147" s="82"/>
      <c r="Q147" s="82"/>
      <c r="R147" s="91"/>
      <c r="S147" s="91"/>
      <c r="T147" s="91"/>
      <c r="U147" s="91"/>
      <c r="V147" s="82"/>
      <c r="W147" s="82"/>
      <c r="X147" s="82"/>
      <c r="Y147" s="82"/>
      <c r="Z147" s="91"/>
      <c r="AA147" s="91"/>
      <c r="AB147" s="91"/>
      <c r="AC147" s="91"/>
      <c r="AD147" s="82"/>
      <c r="AE147" s="82"/>
      <c r="AF147" s="82"/>
      <c r="AG147" s="82"/>
      <c r="AH147" s="91"/>
      <c r="AI147" s="91"/>
      <c r="AJ147" s="91"/>
      <c r="AK147" s="91"/>
      <c r="AL147" s="82"/>
      <c r="AM147" s="82"/>
      <c r="AN147" s="82"/>
      <c r="AO147" s="82"/>
      <c r="AP147" s="91"/>
      <c r="AQ147" s="91"/>
      <c r="AR147" s="91"/>
      <c r="AS147" s="91"/>
      <c r="AT147" s="82"/>
      <c r="AU147" s="82"/>
      <c r="AV147" s="82"/>
      <c r="AW147" s="82"/>
      <c r="AX147" s="91"/>
      <c r="AY147" s="91"/>
      <c r="AZ147" s="91"/>
      <c r="BA147" s="91"/>
      <c r="BB147" s="82"/>
      <c r="BC147" s="82"/>
      <c r="BD147" s="82"/>
      <c r="BE147" s="82"/>
      <c r="BF147" s="91"/>
      <c r="BG147" s="91"/>
      <c r="BH147" s="91"/>
      <c r="BI147" s="91"/>
      <c r="BJ147" s="82"/>
      <c r="BK147" s="82"/>
      <c r="BL147" s="82"/>
      <c r="BM147" s="82"/>
      <c r="BN147" s="91"/>
      <c r="BO147" s="91"/>
      <c r="BP147" s="91"/>
      <c r="BQ147" s="91"/>
      <c r="BR147" s="82"/>
      <c r="BS147" s="82"/>
      <c r="BT147" s="82"/>
      <c r="BU147" s="82"/>
      <c r="BV147" s="91"/>
      <c r="BW147" s="91"/>
      <c r="BX147" s="91"/>
      <c r="BY147" s="91"/>
      <c r="BZ147" s="82"/>
      <c r="CA147" s="82"/>
      <c r="CB147" s="82"/>
      <c r="CC147" s="82"/>
      <c r="CD147" s="91"/>
      <c r="CE147" s="91"/>
      <c r="CF147" s="91"/>
      <c r="CG147" s="91"/>
      <c r="CH147" s="82"/>
      <c r="CI147" s="82"/>
      <c r="CJ147" s="82"/>
      <c r="CK147" s="82"/>
      <c r="CL147" s="91"/>
      <c r="CM147" s="91"/>
      <c r="CN147" s="91"/>
      <c r="CO147" s="91"/>
      <c r="CP147" s="82"/>
      <c r="CQ147" s="82"/>
      <c r="CR147" s="82"/>
      <c r="CS147" s="82"/>
      <c r="CT147" s="91"/>
      <c r="CU147" s="91"/>
      <c r="CV147" s="91"/>
      <c r="CW147" s="91"/>
      <c r="CX147" s="82"/>
      <c r="CY147" s="82"/>
      <c r="CZ147" s="82"/>
      <c r="DA147" s="82"/>
      <c r="DB147" s="91">
        <v>99481.188181818186</v>
      </c>
      <c r="DC147" s="82">
        <v>99481.188181818186</v>
      </c>
      <c r="DD147" s="91"/>
      <c r="DE147" s="101"/>
    </row>
    <row r="148" spans="1:109" x14ac:dyDescent="0.2">
      <c r="A148" s="14">
        <v>140</v>
      </c>
      <c r="B148" s="28" t="s">
        <v>203</v>
      </c>
      <c r="C148" s="14" t="s">
        <v>764</v>
      </c>
      <c r="D148" s="22"/>
      <c r="E148" s="24"/>
      <c r="F148" s="82" t="s">
        <v>950</v>
      </c>
      <c r="G148" s="82" t="s">
        <v>662</v>
      </c>
      <c r="H148" s="82">
        <v>0.63624999999999998</v>
      </c>
      <c r="I148" s="82">
        <v>48401.986773295452</v>
      </c>
      <c r="J148" s="91" t="s">
        <v>958</v>
      </c>
      <c r="K148" s="91" t="s">
        <v>662</v>
      </c>
      <c r="L148" s="91">
        <v>0.62749999999999995</v>
      </c>
      <c r="M148" s="91">
        <v>47736.340589772699</v>
      </c>
      <c r="N148" s="82"/>
      <c r="O148" s="82"/>
      <c r="P148" s="82"/>
      <c r="Q148" s="82"/>
      <c r="R148" s="91"/>
      <c r="S148" s="91"/>
      <c r="T148" s="91"/>
      <c r="U148" s="91"/>
      <c r="V148" s="82"/>
      <c r="W148" s="82"/>
      <c r="X148" s="82"/>
      <c r="Y148" s="82"/>
      <c r="Z148" s="91"/>
      <c r="AA148" s="91"/>
      <c r="AB148" s="91"/>
      <c r="AC148" s="91"/>
      <c r="AD148" s="82"/>
      <c r="AE148" s="82"/>
      <c r="AF148" s="82"/>
      <c r="AG148" s="82"/>
      <c r="AH148" s="91"/>
      <c r="AI148" s="91"/>
      <c r="AJ148" s="91"/>
      <c r="AK148" s="91"/>
      <c r="AL148" s="82"/>
      <c r="AM148" s="82"/>
      <c r="AN148" s="82"/>
      <c r="AO148" s="82"/>
      <c r="AP148" s="91"/>
      <c r="AQ148" s="91"/>
      <c r="AR148" s="91"/>
      <c r="AS148" s="91"/>
      <c r="AT148" s="82"/>
      <c r="AU148" s="82"/>
      <c r="AV148" s="82"/>
      <c r="AW148" s="82"/>
      <c r="AX148" s="91"/>
      <c r="AY148" s="91"/>
      <c r="AZ148" s="91"/>
      <c r="BA148" s="91"/>
      <c r="BB148" s="82"/>
      <c r="BC148" s="82"/>
      <c r="BD148" s="82"/>
      <c r="BE148" s="82"/>
      <c r="BF148" s="91"/>
      <c r="BG148" s="91"/>
      <c r="BH148" s="91"/>
      <c r="BI148" s="91"/>
      <c r="BJ148" s="82"/>
      <c r="BK148" s="82"/>
      <c r="BL148" s="82"/>
      <c r="BM148" s="82"/>
      <c r="BN148" s="91"/>
      <c r="BO148" s="91"/>
      <c r="BP148" s="91"/>
      <c r="BQ148" s="91"/>
      <c r="BR148" s="82"/>
      <c r="BS148" s="82"/>
      <c r="BT148" s="82"/>
      <c r="BU148" s="82"/>
      <c r="BV148" s="91"/>
      <c r="BW148" s="91"/>
      <c r="BX148" s="91"/>
      <c r="BY148" s="91"/>
      <c r="BZ148" s="82"/>
      <c r="CA148" s="82"/>
      <c r="CB148" s="82"/>
      <c r="CC148" s="82"/>
      <c r="CD148" s="91"/>
      <c r="CE148" s="91"/>
      <c r="CF148" s="91"/>
      <c r="CG148" s="91"/>
      <c r="CH148" s="82"/>
      <c r="CI148" s="82"/>
      <c r="CJ148" s="82"/>
      <c r="CK148" s="82"/>
      <c r="CL148" s="91"/>
      <c r="CM148" s="91"/>
      <c r="CN148" s="91"/>
      <c r="CO148" s="91"/>
      <c r="CP148" s="82"/>
      <c r="CQ148" s="82"/>
      <c r="CR148" s="82"/>
      <c r="CS148" s="82"/>
      <c r="CT148" s="91"/>
      <c r="CU148" s="91"/>
      <c r="CV148" s="91"/>
      <c r="CW148" s="91"/>
      <c r="CX148" s="82"/>
      <c r="CY148" s="82"/>
      <c r="CZ148" s="82"/>
      <c r="DA148" s="82"/>
      <c r="DB148" s="91">
        <v>76073.849545454548</v>
      </c>
      <c r="DC148" s="82">
        <v>96138.327363068151</v>
      </c>
      <c r="DD148" s="91"/>
      <c r="DE148" s="101"/>
    </row>
    <row r="149" spans="1:109" x14ac:dyDescent="0.2">
      <c r="A149" s="14">
        <v>141</v>
      </c>
      <c r="B149" s="28" t="s">
        <v>205</v>
      </c>
      <c r="C149" s="14" t="s">
        <v>765</v>
      </c>
      <c r="D149" s="22"/>
      <c r="E149" s="24"/>
      <c r="F149" s="82" t="s">
        <v>962</v>
      </c>
      <c r="G149" s="82" t="s">
        <v>658</v>
      </c>
      <c r="H149" s="82">
        <v>0.875</v>
      </c>
      <c r="I149" s="82">
        <v>81925.684431818183</v>
      </c>
      <c r="J149" s="91"/>
      <c r="K149" s="91"/>
      <c r="L149" s="91"/>
      <c r="M149" s="91"/>
      <c r="N149" s="82"/>
      <c r="O149" s="82"/>
      <c r="P149" s="82"/>
      <c r="Q149" s="82"/>
      <c r="R149" s="91"/>
      <c r="S149" s="91"/>
      <c r="T149" s="91"/>
      <c r="U149" s="91"/>
      <c r="V149" s="82"/>
      <c r="W149" s="82"/>
      <c r="X149" s="82"/>
      <c r="Y149" s="82"/>
      <c r="Z149" s="91"/>
      <c r="AA149" s="91"/>
      <c r="AB149" s="91"/>
      <c r="AC149" s="91"/>
      <c r="AD149" s="82"/>
      <c r="AE149" s="82"/>
      <c r="AF149" s="82"/>
      <c r="AG149" s="82"/>
      <c r="AH149" s="91"/>
      <c r="AI149" s="91"/>
      <c r="AJ149" s="91"/>
      <c r="AK149" s="91"/>
      <c r="AL149" s="82"/>
      <c r="AM149" s="82"/>
      <c r="AN149" s="82"/>
      <c r="AO149" s="82"/>
      <c r="AP149" s="91"/>
      <c r="AQ149" s="91"/>
      <c r="AR149" s="91"/>
      <c r="AS149" s="91"/>
      <c r="AT149" s="82"/>
      <c r="AU149" s="82"/>
      <c r="AV149" s="82"/>
      <c r="AW149" s="82"/>
      <c r="AX149" s="91"/>
      <c r="AY149" s="91"/>
      <c r="AZ149" s="91"/>
      <c r="BA149" s="91"/>
      <c r="BB149" s="82"/>
      <c r="BC149" s="82"/>
      <c r="BD149" s="82"/>
      <c r="BE149" s="82"/>
      <c r="BF149" s="91"/>
      <c r="BG149" s="91"/>
      <c r="BH149" s="91"/>
      <c r="BI149" s="91"/>
      <c r="BJ149" s="82"/>
      <c r="BK149" s="82"/>
      <c r="BL149" s="82"/>
      <c r="BM149" s="82"/>
      <c r="BN149" s="91"/>
      <c r="BO149" s="91"/>
      <c r="BP149" s="91"/>
      <c r="BQ149" s="91"/>
      <c r="BR149" s="82"/>
      <c r="BS149" s="82"/>
      <c r="BT149" s="82"/>
      <c r="BU149" s="82"/>
      <c r="BV149" s="91"/>
      <c r="BW149" s="91"/>
      <c r="BX149" s="91"/>
      <c r="BY149" s="91"/>
      <c r="BZ149" s="82"/>
      <c r="CA149" s="82"/>
      <c r="CB149" s="82"/>
      <c r="CC149" s="82"/>
      <c r="CD149" s="91"/>
      <c r="CE149" s="91"/>
      <c r="CF149" s="91"/>
      <c r="CG149" s="91"/>
      <c r="CH149" s="82"/>
      <c r="CI149" s="82"/>
      <c r="CJ149" s="82"/>
      <c r="CK149" s="82"/>
      <c r="CL149" s="91"/>
      <c r="CM149" s="91"/>
      <c r="CN149" s="91"/>
      <c r="CO149" s="91"/>
      <c r="CP149" s="82"/>
      <c r="CQ149" s="82"/>
      <c r="CR149" s="82"/>
      <c r="CS149" s="82"/>
      <c r="CT149" s="91"/>
      <c r="CU149" s="91"/>
      <c r="CV149" s="91"/>
      <c r="CW149" s="91"/>
      <c r="CX149" s="82"/>
      <c r="CY149" s="82"/>
      <c r="CZ149" s="82"/>
      <c r="DA149" s="82"/>
      <c r="DB149" s="91">
        <v>93629.353636363638</v>
      </c>
      <c r="DC149" s="82">
        <v>81925.684431818183</v>
      </c>
      <c r="DD149" s="91"/>
      <c r="DE149" s="101"/>
    </row>
    <row r="150" spans="1:109" x14ac:dyDescent="0.2">
      <c r="A150" s="14">
        <v>142</v>
      </c>
      <c r="B150" s="28" t="s">
        <v>209</v>
      </c>
      <c r="C150" s="14" t="s">
        <v>766</v>
      </c>
      <c r="D150" s="22"/>
      <c r="E150" s="24"/>
      <c r="F150" s="82" t="s">
        <v>957</v>
      </c>
      <c r="G150" s="82" t="s">
        <v>657</v>
      </c>
      <c r="H150" s="82">
        <v>1</v>
      </c>
      <c r="I150" s="82">
        <v>67881.281363636357</v>
      </c>
      <c r="J150" s="91" t="s">
        <v>963</v>
      </c>
      <c r="K150" s="91" t="s">
        <v>657</v>
      </c>
      <c r="L150" s="91">
        <v>1</v>
      </c>
      <c r="M150" s="91">
        <v>67881.281363636357</v>
      </c>
      <c r="N150" s="82" t="s">
        <v>964</v>
      </c>
      <c r="O150" s="82" t="s">
        <v>657</v>
      </c>
      <c r="P150" s="82">
        <v>1</v>
      </c>
      <c r="Q150" s="82">
        <v>67881.281363636357</v>
      </c>
      <c r="R150" s="91" t="s">
        <v>961</v>
      </c>
      <c r="S150" s="91" t="s">
        <v>657</v>
      </c>
      <c r="T150" s="91">
        <v>1</v>
      </c>
      <c r="U150" s="91">
        <v>67881.281363636357</v>
      </c>
      <c r="V150" s="82" t="s">
        <v>958</v>
      </c>
      <c r="W150" s="82" t="s">
        <v>657</v>
      </c>
      <c r="X150" s="82">
        <v>1</v>
      </c>
      <c r="Y150" s="82">
        <v>67881.281363636357</v>
      </c>
      <c r="Z150" s="91" t="s">
        <v>946</v>
      </c>
      <c r="AA150" s="91" t="s">
        <v>657</v>
      </c>
      <c r="AB150" s="91">
        <v>1</v>
      </c>
      <c r="AC150" s="91">
        <v>67881.281363636357</v>
      </c>
      <c r="AD150" s="82"/>
      <c r="AE150" s="82"/>
      <c r="AF150" s="82"/>
      <c r="AG150" s="82"/>
      <c r="AH150" s="91"/>
      <c r="AI150" s="91"/>
      <c r="AJ150" s="91"/>
      <c r="AK150" s="91"/>
      <c r="AL150" s="82"/>
      <c r="AM150" s="82"/>
      <c r="AN150" s="82"/>
      <c r="AO150" s="82"/>
      <c r="AP150" s="91"/>
      <c r="AQ150" s="91"/>
      <c r="AR150" s="91"/>
      <c r="AS150" s="91"/>
      <c r="AT150" s="82"/>
      <c r="AU150" s="82"/>
      <c r="AV150" s="82"/>
      <c r="AW150" s="82"/>
      <c r="AX150" s="91"/>
      <c r="AY150" s="91"/>
      <c r="AZ150" s="91"/>
      <c r="BA150" s="91"/>
      <c r="BB150" s="82"/>
      <c r="BC150" s="82"/>
      <c r="BD150" s="82"/>
      <c r="BE150" s="82"/>
      <c r="BF150" s="91"/>
      <c r="BG150" s="91"/>
      <c r="BH150" s="91"/>
      <c r="BI150" s="91"/>
      <c r="BJ150" s="82"/>
      <c r="BK150" s="82"/>
      <c r="BL150" s="82"/>
      <c r="BM150" s="82"/>
      <c r="BN150" s="91"/>
      <c r="BO150" s="91"/>
      <c r="BP150" s="91"/>
      <c r="BQ150" s="91"/>
      <c r="BR150" s="82"/>
      <c r="BS150" s="82"/>
      <c r="BT150" s="82"/>
      <c r="BU150" s="82"/>
      <c r="BV150" s="91"/>
      <c r="BW150" s="91"/>
      <c r="BX150" s="91"/>
      <c r="BY150" s="91"/>
      <c r="BZ150" s="82"/>
      <c r="CA150" s="82"/>
      <c r="CB150" s="82"/>
      <c r="CC150" s="82"/>
      <c r="CD150" s="91"/>
      <c r="CE150" s="91"/>
      <c r="CF150" s="91"/>
      <c r="CG150" s="91"/>
      <c r="CH150" s="82"/>
      <c r="CI150" s="82"/>
      <c r="CJ150" s="82"/>
      <c r="CK150" s="82"/>
      <c r="CL150" s="91"/>
      <c r="CM150" s="91"/>
      <c r="CN150" s="91"/>
      <c r="CO150" s="91"/>
      <c r="CP150" s="82"/>
      <c r="CQ150" s="82"/>
      <c r="CR150" s="82"/>
      <c r="CS150" s="82"/>
      <c r="CT150" s="91"/>
      <c r="CU150" s="91"/>
      <c r="CV150" s="91"/>
      <c r="CW150" s="91"/>
      <c r="CX150" s="82"/>
      <c r="CY150" s="82"/>
      <c r="CZ150" s="82"/>
      <c r="DA150" s="82"/>
      <c r="DB150" s="91">
        <v>67881.281363636357</v>
      </c>
      <c r="DC150" s="82">
        <v>407287.68818181817</v>
      </c>
      <c r="DD150" s="91"/>
      <c r="DE150" s="101"/>
    </row>
    <row r="151" spans="1:109" x14ac:dyDescent="0.2">
      <c r="A151" s="14">
        <v>143</v>
      </c>
      <c r="B151" s="28" t="s">
        <v>211</v>
      </c>
      <c r="C151" s="14" t="s">
        <v>767</v>
      </c>
      <c r="D151" s="22"/>
      <c r="E151" s="24"/>
      <c r="F151" s="82" t="s">
        <v>950</v>
      </c>
      <c r="G151" s="82" t="s">
        <v>658</v>
      </c>
      <c r="H151" s="82">
        <v>1</v>
      </c>
      <c r="I151" s="82">
        <v>76073.849545454548</v>
      </c>
      <c r="J151" s="91" t="s">
        <v>957</v>
      </c>
      <c r="K151" s="91" t="s">
        <v>658</v>
      </c>
      <c r="L151" s="91">
        <v>1</v>
      </c>
      <c r="M151" s="91">
        <v>76073.849545454505</v>
      </c>
      <c r="N151" s="82" t="s">
        <v>939</v>
      </c>
      <c r="O151" s="82" t="s">
        <v>658</v>
      </c>
      <c r="P151" s="82">
        <v>1</v>
      </c>
      <c r="Q151" s="82">
        <v>76073.849545454505</v>
      </c>
      <c r="R151" s="91"/>
      <c r="S151" s="91"/>
      <c r="T151" s="91"/>
      <c r="U151" s="91"/>
      <c r="V151" s="82"/>
      <c r="W151" s="82"/>
      <c r="X151" s="82"/>
      <c r="Y151" s="82"/>
      <c r="Z151" s="91"/>
      <c r="AA151" s="91"/>
      <c r="AB151" s="91"/>
      <c r="AC151" s="91"/>
      <c r="AD151" s="82"/>
      <c r="AE151" s="82"/>
      <c r="AF151" s="82"/>
      <c r="AG151" s="82"/>
      <c r="AH151" s="91"/>
      <c r="AI151" s="91"/>
      <c r="AJ151" s="91"/>
      <c r="AK151" s="91"/>
      <c r="AL151" s="82"/>
      <c r="AM151" s="82"/>
      <c r="AN151" s="82"/>
      <c r="AO151" s="82"/>
      <c r="AP151" s="91"/>
      <c r="AQ151" s="91"/>
      <c r="AR151" s="91"/>
      <c r="AS151" s="91"/>
      <c r="AT151" s="82"/>
      <c r="AU151" s="82"/>
      <c r="AV151" s="82"/>
      <c r="AW151" s="82"/>
      <c r="AX151" s="91"/>
      <c r="AY151" s="91"/>
      <c r="AZ151" s="91"/>
      <c r="BA151" s="91"/>
      <c r="BB151" s="82"/>
      <c r="BC151" s="82"/>
      <c r="BD151" s="82"/>
      <c r="BE151" s="82"/>
      <c r="BF151" s="91"/>
      <c r="BG151" s="91"/>
      <c r="BH151" s="91"/>
      <c r="BI151" s="91"/>
      <c r="BJ151" s="82"/>
      <c r="BK151" s="82"/>
      <c r="BL151" s="82"/>
      <c r="BM151" s="82"/>
      <c r="BN151" s="91"/>
      <c r="BO151" s="91"/>
      <c r="BP151" s="91"/>
      <c r="BQ151" s="91"/>
      <c r="BR151" s="82"/>
      <c r="BS151" s="82"/>
      <c r="BT151" s="82"/>
      <c r="BU151" s="82"/>
      <c r="BV151" s="91"/>
      <c r="BW151" s="91"/>
      <c r="BX151" s="91"/>
      <c r="BY151" s="91"/>
      <c r="BZ151" s="82"/>
      <c r="CA151" s="82"/>
      <c r="CB151" s="82"/>
      <c r="CC151" s="82"/>
      <c r="CD151" s="91"/>
      <c r="CE151" s="91"/>
      <c r="CF151" s="91"/>
      <c r="CG151" s="91"/>
      <c r="CH151" s="82"/>
      <c r="CI151" s="82"/>
      <c r="CJ151" s="82"/>
      <c r="CK151" s="82"/>
      <c r="CL151" s="91"/>
      <c r="CM151" s="91"/>
      <c r="CN151" s="91"/>
      <c r="CO151" s="91"/>
      <c r="CP151" s="82"/>
      <c r="CQ151" s="82"/>
      <c r="CR151" s="82"/>
      <c r="CS151" s="82"/>
      <c r="CT151" s="91"/>
      <c r="CU151" s="91"/>
      <c r="CV151" s="91"/>
      <c r="CW151" s="91"/>
      <c r="CX151" s="82"/>
      <c r="CY151" s="82"/>
      <c r="CZ151" s="82"/>
      <c r="DA151" s="82"/>
      <c r="DB151" s="91">
        <v>76073.849545454548</v>
      </c>
      <c r="DC151" s="82">
        <v>228221.54863636353</v>
      </c>
      <c r="DD151" s="91"/>
      <c r="DE151" s="101"/>
    </row>
    <row r="152" spans="1:109" x14ac:dyDescent="0.2">
      <c r="A152" s="14">
        <v>144</v>
      </c>
      <c r="B152" s="28" t="s">
        <v>213</v>
      </c>
      <c r="C152" s="14" t="s">
        <v>769</v>
      </c>
      <c r="D152" s="22"/>
      <c r="E152" s="24"/>
      <c r="F152" s="82" t="s">
        <v>944</v>
      </c>
      <c r="G152" s="82" t="s">
        <v>658</v>
      </c>
      <c r="H152" s="82">
        <v>1</v>
      </c>
      <c r="I152" s="82">
        <v>76073.849545454548</v>
      </c>
      <c r="J152" s="91"/>
      <c r="K152" s="91"/>
      <c r="L152" s="91"/>
      <c r="M152" s="91"/>
      <c r="N152" s="82"/>
      <c r="O152" s="82"/>
      <c r="P152" s="82"/>
      <c r="Q152" s="82"/>
      <c r="R152" s="91"/>
      <c r="S152" s="91"/>
      <c r="T152" s="91"/>
      <c r="U152" s="91"/>
      <c r="V152" s="82"/>
      <c r="W152" s="82"/>
      <c r="X152" s="82"/>
      <c r="Y152" s="82"/>
      <c r="Z152" s="91"/>
      <c r="AA152" s="91"/>
      <c r="AB152" s="91"/>
      <c r="AC152" s="91"/>
      <c r="AD152" s="82"/>
      <c r="AE152" s="82"/>
      <c r="AF152" s="82"/>
      <c r="AG152" s="82"/>
      <c r="AH152" s="91"/>
      <c r="AI152" s="91"/>
      <c r="AJ152" s="91"/>
      <c r="AK152" s="91"/>
      <c r="AL152" s="82"/>
      <c r="AM152" s="82"/>
      <c r="AN152" s="82"/>
      <c r="AO152" s="82"/>
      <c r="AP152" s="91"/>
      <c r="AQ152" s="91"/>
      <c r="AR152" s="91"/>
      <c r="AS152" s="91"/>
      <c r="AT152" s="82"/>
      <c r="AU152" s="82"/>
      <c r="AV152" s="82"/>
      <c r="AW152" s="82"/>
      <c r="AX152" s="91"/>
      <c r="AY152" s="91"/>
      <c r="AZ152" s="91"/>
      <c r="BA152" s="91"/>
      <c r="BB152" s="82"/>
      <c r="BC152" s="82"/>
      <c r="BD152" s="82"/>
      <c r="BE152" s="82"/>
      <c r="BF152" s="91"/>
      <c r="BG152" s="91"/>
      <c r="BH152" s="91"/>
      <c r="BI152" s="91"/>
      <c r="BJ152" s="82"/>
      <c r="BK152" s="82"/>
      <c r="BL152" s="82"/>
      <c r="BM152" s="82"/>
      <c r="BN152" s="91"/>
      <c r="BO152" s="91"/>
      <c r="BP152" s="91"/>
      <c r="BQ152" s="91"/>
      <c r="BR152" s="82"/>
      <c r="BS152" s="82"/>
      <c r="BT152" s="82"/>
      <c r="BU152" s="82"/>
      <c r="BV152" s="91"/>
      <c r="BW152" s="91"/>
      <c r="BX152" s="91"/>
      <c r="BY152" s="91"/>
      <c r="BZ152" s="82"/>
      <c r="CA152" s="82"/>
      <c r="CB152" s="82"/>
      <c r="CC152" s="82"/>
      <c r="CD152" s="91"/>
      <c r="CE152" s="91"/>
      <c r="CF152" s="91"/>
      <c r="CG152" s="91"/>
      <c r="CH152" s="82"/>
      <c r="CI152" s="82"/>
      <c r="CJ152" s="82"/>
      <c r="CK152" s="82"/>
      <c r="CL152" s="91"/>
      <c r="CM152" s="91"/>
      <c r="CN152" s="91"/>
      <c r="CO152" s="91"/>
      <c r="CP152" s="82"/>
      <c r="CQ152" s="82"/>
      <c r="CR152" s="82"/>
      <c r="CS152" s="82"/>
      <c r="CT152" s="91"/>
      <c r="CU152" s="91"/>
      <c r="CV152" s="91"/>
      <c r="CW152" s="91"/>
      <c r="CX152" s="82"/>
      <c r="CY152" s="82"/>
      <c r="CZ152" s="82"/>
      <c r="DA152" s="82"/>
      <c r="DB152" s="91">
        <v>76073.849545454548</v>
      </c>
      <c r="DC152" s="82">
        <v>76073.849545454548</v>
      </c>
      <c r="DD152" s="91"/>
      <c r="DE152" s="101"/>
    </row>
    <row r="153" spans="1:109" x14ac:dyDescent="0.2">
      <c r="A153" s="14">
        <v>145</v>
      </c>
      <c r="B153" s="28" t="s">
        <v>216</v>
      </c>
      <c r="C153" s="14" t="s">
        <v>770</v>
      </c>
      <c r="D153" s="28"/>
      <c r="E153" s="28"/>
      <c r="F153" s="83"/>
      <c r="G153" s="83"/>
      <c r="H153" s="83"/>
      <c r="I153" s="83"/>
      <c r="J153" s="96"/>
      <c r="K153" s="96"/>
      <c r="L153" s="96"/>
      <c r="M153" s="96"/>
      <c r="N153" s="83"/>
      <c r="O153" s="83"/>
      <c r="P153" s="83"/>
      <c r="Q153" s="83"/>
      <c r="R153" s="96"/>
      <c r="S153" s="96"/>
      <c r="T153" s="96"/>
      <c r="U153" s="96"/>
      <c r="V153" s="83"/>
      <c r="W153" s="83"/>
      <c r="X153" s="83"/>
      <c r="Y153" s="83"/>
      <c r="Z153" s="96"/>
      <c r="AA153" s="96"/>
      <c r="AB153" s="96"/>
      <c r="AC153" s="96"/>
      <c r="AD153" s="83"/>
      <c r="AE153" s="83"/>
      <c r="AF153" s="83"/>
      <c r="AG153" s="83"/>
      <c r="AH153" s="96"/>
      <c r="AI153" s="96"/>
      <c r="AJ153" s="96"/>
      <c r="AK153" s="96"/>
      <c r="AL153" s="83"/>
      <c r="AM153" s="83"/>
      <c r="AN153" s="83"/>
      <c r="AO153" s="83"/>
      <c r="AP153" s="96"/>
      <c r="AQ153" s="96"/>
      <c r="AR153" s="96"/>
      <c r="AS153" s="96"/>
      <c r="AT153" s="83"/>
      <c r="AU153" s="83"/>
      <c r="AV153" s="83"/>
      <c r="AW153" s="83"/>
      <c r="AX153" s="96"/>
      <c r="AY153" s="96"/>
      <c r="AZ153" s="96"/>
      <c r="BA153" s="96"/>
      <c r="BB153" s="83"/>
      <c r="BC153" s="83"/>
      <c r="BD153" s="83"/>
      <c r="BE153" s="83"/>
      <c r="BF153" s="96"/>
      <c r="BG153" s="96"/>
      <c r="BH153" s="96"/>
      <c r="BI153" s="96"/>
      <c r="BJ153" s="83"/>
      <c r="BK153" s="83"/>
      <c r="BL153" s="83"/>
      <c r="BM153" s="83"/>
      <c r="BN153" s="96"/>
      <c r="BO153" s="96"/>
      <c r="BP153" s="96"/>
      <c r="BQ153" s="96"/>
      <c r="BR153" s="83"/>
      <c r="BS153" s="83"/>
      <c r="BT153" s="83"/>
      <c r="BU153" s="83"/>
      <c r="BV153" s="96"/>
      <c r="BW153" s="96"/>
      <c r="BX153" s="96"/>
      <c r="BY153" s="96"/>
      <c r="BZ153" s="83"/>
      <c r="CA153" s="83"/>
      <c r="CB153" s="83"/>
      <c r="CC153" s="83"/>
      <c r="CD153" s="96"/>
      <c r="CE153" s="96"/>
      <c r="CF153" s="96"/>
      <c r="CG153" s="96"/>
      <c r="CH153" s="83"/>
      <c r="CI153" s="83"/>
      <c r="CJ153" s="83"/>
      <c r="CK153" s="83"/>
      <c r="CL153" s="96"/>
      <c r="CM153" s="96"/>
      <c r="CN153" s="96"/>
      <c r="CO153" s="96"/>
      <c r="CP153" s="83"/>
      <c r="CQ153" s="83"/>
      <c r="CR153" s="83"/>
      <c r="CS153" s="83"/>
      <c r="CT153" s="96"/>
      <c r="CU153" s="96"/>
      <c r="CV153" s="96"/>
      <c r="CW153" s="96"/>
      <c r="CX153" s="83"/>
      <c r="CY153" s="83"/>
      <c r="CZ153" s="83"/>
      <c r="DA153" s="83"/>
      <c r="DB153" s="91"/>
      <c r="DC153" s="83"/>
      <c r="DD153" s="96"/>
      <c r="DE153" s="102"/>
    </row>
    <row r="154" spans="1:109" x14ac:dyDescent="0.2">
      <c r="A154" s="14">
        <v>146</v>
      </c>
      <c r="B154" s="28" t="s">
        <v>219</v>
      </c>
      <c r="C154" s="14" t="s">
        <v>771</v>
      </c>
      <c r="D154" s="28"/>
      <c r="E154" s="28"/>
      <c r="F154" s="83" t="s">
        <v>947</v>
      </c>
      <c r="G154" s="83" t="s">
        <v>658</v>
      </c>
      <c r="H154" s="83">
        <v>0.875</v>
      </c>
      <c r="I154" s="83">
        <v>81925.684431818183</v>
      </c>
      <c r="J154" s="96"/>
      <c r="K154" s="96"/>
      <c r="L154" s="96"/>
      <c r="M154" s="96"/>
      <c r="N154" s="83"/>
      <c r="O154" s="83"/>
      <c r="P154" s="83"/>
      <c r="Q154" s="83"/>
      <c r="R154" s="96"/>
      <c r="S154" s="96"/>
      <c r="T154" s="96"/>
      <c r="U154" s="96"/>
      <c r="V154" s="83"/>
      <c r="W154" s="83"/>
      <c r="X154" s="83"/>
      <c r="Y154" s="83"/>
      <c r="Z154" s="96"/>
      <c r="AA154" s="96"/>
      <c r="AB154" s="96"/>
      <c r="AC154" s="96"/>
      <c r="AD154" s="83"/>
      <c r="AE154" s="83"/>
      <c r="AF154" s="83"/>
      <c r="AG154" s="83"/>
      <c r="AH154" s="96"/>
      <c r="AI154" s="96"/>
      <c r="AJ154" s="96"/>
      <c r="AK154" s="96"/>
      <c r="AL154" s="83"/>
      <c r="AM154" s="83"/>
      <c r="AN154" s="83"/>
      <c r="AO154" s="83"/>
      <c r="AP154" s="96"/>
      <c r="AQ154" s="96"/>
      <c r="AR154" s="96"/>
      <c r="AS154" s="96"/>
      <c r="AT154" s="83"/>
      <c r="AU154" s="83"/>
      <c r="AV154" s="83"/>
      <c r="AW154" s="83"/>
      <c r="AX154" s="96"/>
      <c r="AY154" s="96"/>
      <c r="AZ154" s="96"/>
      <c r="BA154" s="96"/>
      <c r="BB154" s="83"/>
      <c r="BC154" s="83"/>
      <c r="BD154" s="83"/>
      <c r="BE154" s="83"/>
      <c r="BF154" s="96"/>
      <c r="BG154" s="96"/>
      <c r="BH154" s="96"/>
      <c r="BI154" s="96"/>
      <c r="BJ154" s="83"/>
      <c r="BK154" s="83"/>
      <c r="BL154" s="83"/>
      <c r="BM154" s="83"/>
      <c r="BN154" s="96"/>
      <c r="BO154" s="96"/>
      <c r="BP154" s="96"/>
      <c r="BQ154" s="96"/>
      <c r="BR154" s="83"/>
      <c r="BS154" s="83"/>
      <c r="BT154" s="83"/>
      <c r="BU154" s="83"/>
      <c r="BV154" s="96"/>
      <c r="BW154" s="96"/>
      <c r="BX154" s="96"/>
      <c r="BY154" s="96"/>
      <c r="BZ154" s="83"/>
      <c r="CA154" s="83"/>
      <c r="CB154" s="83"/>
      <c r="CC154" s="83"/>
      <c r="CD154" s="96"/>
      <c r="CE154" s="96"/>
      <c r="CF154" s="96"/>
      <c r="CG154" s="96"/>
      <c r="CH154" s="83"/>
      <c r="CI154" s="83"/>
      <c r="CJ154" s="83"/>
      <c r="CK154" s="83"/>
      <c r="CL154" s="96"/>
      <c r="CM154" s="96"/>
      <c r="CN154" s="96"/>
      <c r="CO154" s="96"/>
      <c r="CP154" s="83"/>
      <c r="CQ154" s="83"/>
      <c r="CR154" s="83"/>
      <c r="CS154" s="83"/>
      <c r="CT154" s="96"/>
      <c r="CU154" s="96"/>
      <c r="CV154" s="96"/>
      <c r="CW154" s="96"/>
      <c r="CX154" s="83"/>
      <c r="CY154" s="83"/>
      <c r="CZ154" s="83"/>
      <c r="DA154" s="83"/>
      <c r="DB154" s="91">
        <v>93629.353636363638</v>
      </c>
      <c r="DC154" s="83">
        <v>81925.684431818183</v>
      </c>
      <c r="DD154" s="96"/>
      <c r="DE154" s="102"/>
    </row>
    <row r="155" spans="1:109" x14ac:dyDescent="0.2">
      <c r="A155" s="14">
        <v>147</v>
      </c>
      <c r="B155" s="28" t="s">
        <v>221</v>
      </c>
      <c r="C155" s="14" t="s">
        <v>772</v>
      </c>
      <c r="D155" s="28"/>
      <c r="E155" s="28"/>
      <c r="F155" s="83"/>
      <c r="G155" s="83"/>
      <c r="H155" s="83"/>
      <c r="I155" s="83"/>
      <c r="J155" s="96"/>
      <c r="K155" s="96"/>
      <c r="L155" s="96"/>
      <c r="M155" s="96"/>
      <c r="N155" s="83"/>
      <c r="O155" s="83"/>
      <c r="P155" s="83"/>
      <c r="Q155" s="83"/>
      <c r="R155" s="96"/>
      <c r="S155" s="96"/>
      <c r="T155" s="96"/>
      <c r="U155" s="96"/>
      <c r="V155" s="83"/>
      <c r="W155" s="83"/>
      <c r="X155" s="83"/>
      <c r="Y155" s="83"/>
      <c r="Z155" s="96"/>
      <c r="AA155" s="96"/>
      <c r="AB155" s="96"/>
      <c r="AC155" s="96"/>
      <c r="AD155" s="83"/>
      <c r="AE155" s="83"/>
      <c r="AF155" s="83"/>
      <c r="AG155" s="83"/>
      <c r="AH155" s="96"/>
      <c r="AI155" s="96"/>
      <c r="AJ155" s="96"/>
      <c r="AK155" s="96"/>
      <c r="AL155" s="83"/>
      <c r="AM155" s="83"/>
      <c r="AN155" s="83"/>
      <c r="AO155" s="83"/>
      <c r="AP155" s="96"/>
      <c r="AQ155" s="96"/>
      <c r="AR155" s="96"/>
      <c r="AS155" s="96"/>
      <c r="AT155" s="83"/>
      <c r="AU155" s="83"/>
      <c r="AV155" s="83"/>
      <c r="AW155" s="83"/>
      <c r="AX155" s="96"/>
      <c r="AY155" s="96"/>
      <c r="AZ155" s="96"/>
      <c r="BA155" s="96"/>
      <c r="BB155" s="83"/>
      <c r="BC155" s="83"/>
      <c r="BD155" s="83"/>
      <c r="BE155" s="83"/>
      <c r="BF155" s="96"/>
      <c r="BG155" s="96"/>
      <c r="BH155" s="96"/>
      <c r="BI155" s="96"/>
      <c r="BJ155" s="83"/>
      <c r="BK155" s="83"/>
      <c r="BL155" s="83"/>
      <c r="BM155" s="83"/>
      <c r="BN155" s="96"/>
      <c r="BO155" s="96"/>
      <c r="BP155" s="96"/>
      <c r="BQ155" s="96"/>
      <c r="BR155" s="83"/>
      <c r="BS155" s="83"/>
      <c r="BT155" s="83"/>
      <c r="BU155" s="83"/>
      <c r="BV155" s="96"/>
      <c r="BW155" s="96"/>
      <c r="BX155" s="96"/>
      <c r="BY155" s="96"/>
      <c r="BZ155" s="83"/>
      <c r="CA155" s="83"/>
      <c r="CB155" s="83"/>
      <c r="CC155" s="83"/>
      <c r="CD155" s="96"/>
      <c r="CE155" s="96"/>
      <c r="CF155" s="96"/>
      <c r="CG155" s="96"/>
      <c r="CH155" s="83"/>
      <c r="CI155" s="83"/>
      <c r="CJ155" s="83"/>
      <c r="CK155" s="83"/>
      <c r="CL155" s="96"/>
      <c r="CM155" s="96"/>
      <c r="CN155" s="96"/>
      <c r="CO155" s="96"/>
      <c r="CP155" s="83"/>
      <c r="CQ155" s="83"/>
      <c r="CR155" s="83"/>
      <c r="CS155" s="83"/>
      <c r="CT155" s="96"/>
      <c r="CU155" s="96"/>
      <c r="CV155" s="96"/>
      <c r="CW155" s="96"/>
      <c r="CX155" s="83"/>
      <c r="CY155" s="83"/>
      <c r="CZ155" s="83"/>
      <c r="DA155" s="83"/>
      <c r="DB155" s="91"/>
      <c r="DC155" s="83"/>
      <c r="DD155" s="96"/>
      <c r="DE155" s="102"/>
    </row>
    <row r="156" spans="1:109" x14ac:dyDescent="0.2">
      <c r="A156" s="14">
        <v>148</v>
      </c>
      <c r="B156" s="28" t="s">
        <v>356</v>
      </c>
      <c r="C156" s="14" t="s">
        <v>773</v>
      </c>
      <c r="D156" s="28"/>
      <c r="E156" s="28"/>
      <c r="F156" s="83"/>
      <c r="G156" s="83"/>
      <c r="H156" s="83"/>
      <c r="I156" s="83"/>
      <c r="J156" s="96"/>
      <c r="K156" s="96"/>
      <c r="L156" s="96"/>
      <c r="M156" s="96"/>
      <c r="N156" s="83"/>
      <c r="O156" s="83"/>
      <c r="P156" s="83"/>
      <c r="Q156" s="83"/>
      <c r="R156" s="96"/>
      <c r="S156" s="96"/>
      <c r="T156" s="96"/>
      <c r="U156" s="96"/>
      <c r="V156" s="83"/>
      <c r="W156" s="83"/>
      <c r="X156" s="83"/>
      <c r="Y156" s="83"/>
      <c r="Z156" s="96"/>
      <c r="AA156" s="96"/>
      <c r="AB156" s="96"/>
      <c r="AC156" s="96"/>
      <c r="AD156" s="83"/>
      <c r="AE156" s="83"/>
      <c r="AF156" s="83"/>
      <c r="AG156" s="83"/>
      <c r="AH156" s="96"/>
      <c r="AI156" s="96"/>
      <c r="AJ156" s="96"/>
      <c r="AK156" s="96"/>
      <c r="AL156" s="83"/>
      <c r="AM156" s="83"/>
      <c r="AN156" s="83"/>
      <c r="AO156" s="83"/>
      <c r="AP156" s="96"/>
      <c r="AQ156" s="96"/>
      <c r="AR156" s="96"/>
      <c r="AS156" s="96"/>
      <c r="AT156" s="83"/>
      <c r="AU156" s="83"/>
      <c r="AV156" s="83"/>
      <c r="AW156" s="83"/>
      <c r="AX156" s="96"/>
      <c r="AY156" s="96"/>
      <c r="AZ156" s="96"/>
      <c r="BA156" s="96"/>
      <c r="BB156" s="83"/>
      <c r="BC156" s="83"/>
      <c r="BD156" s="83"/>
      <c r="BE156" s="83"/>
      <c r="BF156" s="96"/>
      <c r="BG156" s="96"/>
      <c r="BH156" s="96"/>
      <c r="BI156" s="96"/>
      <c r="BJ156" s="83"/>
      <c r="BK156" s="83"/>
      <c r="BL156" s="83"/>
      <c r="BM156" s="83"/>
      <c r="BN156" s="96"/>
      <c r="BO156" s="96"/>
      <c r="BP156" s="96"/>
      <c r="BQ156" s="96"/>
      <c r="BR156" s="83"/>
      <c r="BS156" s="83"/>
      <c r="BT156" s="83"/>
      <c r="BU156" s="83"/>
      <c r="BV156" s="96"/>
      <c r="BW156" s="96"/>
      <c r="BX156" s="96"/>
      <c r="BY156" s="96"/>
      <c r="BZ156" s="83"/>
      <c r="CA156" s="83"/>
      <c r="CB156" s="83"/>
      <c r="CC156" s="83"/>
      <c r="CD156" s="96"/>
      <c r="CE156" s="96"/>
      <c r="CF156" s="96"/>
      <c r="CG156" s="96"/>
      <c r="CH156" s="83"/>
      <c r="CI156" s="83"/>
      <c r="CJ156" s="83"/>
      <c r="CK156" s="83"/>
      <c r="CL156" s="96"/>
      <c r="CM156" s="96"/>
      <c r="CN156" s="96"/>
      <c r="CO156" s="96"/>
      <c r="CP156" s="83"/>
      <c r="CQ156" s="83"/>
      <c r="CR156" s="83"/>
      <c r="CS156" s="83"/>
      <c r="CT156" s="96"/>
      <c r="CU156" s="96"/>
      <c r="CV156" s="96"/>
      <c r="CW156" s="96"/>
      <c r="CX156" s="83"/>
      <c r="CY156" s="83"/>
      <c r="CZ156" s="83"/>
      <c r="DA156" s="83"/>
      <c r="DB156" s="91"/>
      <c r="DC156" s="83"/>
      <c r="DD156" s="96"/>
      <c r="DE156" s="102"/>
    </row>
    <row r="157" spans="1:109" x14ac:dyDescent="0.2">
      <c r="A157" s="14">
        <v>149</v>
      </c>
      <c r="B157" s="28" t="s">
        <v>223</v>
      </c>
      <c r="C157" s="14" t="s">
        <v>774</v>
      </c>
      <c r="D157" s="28"/>
      <c r="E157" s="28"/>
      <c r="F157" s="83"/>
      <c r="G157" s="83"/>
      <c r="H157" s="83"/>
      <c r="I157" s="83"/>
      <c r="J157" s="96"/>
      <c r="K157" s="96"/>
      <c r="L157" s="96"/>
      <c r="M157" s="96"/>
      <c r="N157" s="83"/>
      <c r="O157" s="83"/>
      <c r="P157" s="83"/>
      <c r="Q157" s="83"/>
      <c r="R157" s="96"/>
      <c r="S157" s="96"/>
      <c r="T157" s="96"/>
      <c r="U157" s="96"/>
      <c r="V157" s="83"/>
      <c r="W157" s="83"/>
      <c r="X157" s="83"/>
      <c r="Y157" s="83"/>
      <c r="Z157" s="96"/>
      <c r="AA157" s="96"/>
      <c r="AB157" s="96"/>
      <c r="AC157" s="96"/>
      <c r="AD157" s="83"/>
      <c r="AE157" s="83"/>
      <c r="AF157" s="83"/>
      <c r="AG157" s="83"/>
      <c r="AH157" s="96"/>
      <c r="AI157" s="96"/>
      <c r="AJ157" s="96"/>
      <c r="AK157" s="96"/>
      <c r="AL157" s="83"/>
      <c r="AM157" s="83"/>
      <c r="AN157" s="83"/>
      <c r="AO157" s="83"/>
      <c r="AP157" s="96"/>
      <c r="AQ157" s="96"/>
      <c r="AR157" s="96"/>
      <c r="AS157" s="96"/>
      <c r="AT157" s="83"/>
      <c r="AU157" s="83"/>
      <c r="AV157" s="83"/>
      <c r="AW157" s="83"/>
      <c r="AX157" s="96"/>
      <c r="AY157" s="96"/>
      <c r="AZ157" s="96"/>
      <c r="BA157" s="96"/>
      <c r="BB157" s="83"/>
      <c r="BC157" s="83"/>
      <c r="BD157" s="83"/>
      <c r="BE157" s="83"/>
      <c r="BF157" s="96"/>
      <c r="BG157" s="96"/>
      <c r="BH157" s="96"/>
      <c r="BI157" s="96"/>
      <c r="BJ157" s="83"/>
      <c r="BK157" s="83"/>
      <c r="BL157" s="83"/>
      <c r="BM157" s="83"/>
      <c r="BN157" s="96"/>
      <c r="BO157" s="96"/>
      <c r="BP157" s="96"/>
      <c r="BQ157" s="96"/>
      <c r="BR157" s="83"/>
      <c r="BS157" s="83"/>
      <c r="BT157" s="83"/>
      <c r="BU157" s="83"/>
      <c r="BV157" s="96"/>
      <c r="BW157" s="96"/>
      <c r="BX157" s="96"/>
      <c r="BY157" s="96"/>
      <c r="BZ157" s="83"/>
      <c r="CA157" s="83"/>
      <c r="CB157" s="83"/>
      <c r="CC157" s="83"/>
      <c r="CD157" s="96"/>
      <c r="CE157" s="96"/>
      <c r="CF157" s="96"/>
      <c r="CG157" s="96"/>
      <c r="CH157" s="83"/>
      <c r="CI157" s="83"/>
      <c r="CJ157" s="83"/>
      <c r="CK157" s="83"/>
      <c r="CL157" s="96"/>
      <c r="CM157" s="96"/>
      <c r="CN157" s="96"/>
      <c r="CO157" s="96"/>
      <c r="CP157" s="83"/>
      <c r="CQ157" s="83"/>
      <c r="CR157" s="83"/>
      <c r="CS157" s="83"/>
      <c r="CT157" s="96"/>
      <c r="CU157" s="96"/>
      <c r="CV157" s="96"/>
      <c r="CW157" s="96"/>
      <c r="CX157" s="83"/>
      <c r="CY157" s="83"/>
      <c r="CZ157" s="83"/>
      <c r="DA157" s="83"/>
      <c r="DB157" s="91"/>
      <c r="DC157" s="83"/>
      <c r="DD157" s="96"/>
      <c r="DE157" s="102"/>
    </row>
    <row r="158" spans="1:109" x14ac:dyDescent="0.2">
      <c r="A158" s="14">
        <v>150</v>
      </c>
      <c r="B158" s="28" t="s">
        <v>225</v>
      </c>
      <c r="C158" s="14" t="s">
        <v>775</v>
      </c>
      <c r="D158" s="28"/>
      <c r="E158" s="28"/>
      <c r="F158" s="83" t="s">
        <v>961</v>
      </c>
      <c r="G158" s="83" t="s">
        <v>907</v>
      </c>
      <c r="H158" s="83">
        <v>1.385</v>
      </c>
      <c r="I158" s="83">
        <v>137781.44563181818</v>
      </c>
      <c r="J158" s="96"/>
      <c r="K158" s="96"/>
      <c r="L158" s="96"/>
      <c r="M158" s="96"/>
      <c r="N158" s="83"/>
      <c r="O158" s="83"/>
      <c r="P158" s="83"/>
      <c r="Q158" s="83"/>
      <c r="R158" s="96"/>
      <c r="S158" s="96"/>
      <c r="T158" s="96"/>
      <c r="U158" s="96"/>
      <c r="V158" s="83"/>
      <c r="W158" s="83"/>
      <c r="X158" s="83"/>
      <c r="Y158" s="83"/>
      <c r="Z158" s="96"/>
      <c r="AA158" s="96"/>
      <c r="AB158" s="96"/>
      <c r="AC158" s="96"/>
      <c r="AD158" s="83"/>
      <c r="AE158" s="83"/>
      <c r="AF158" s="83"/>
      <c r="AG158" s="83"/>
      <c r="AH158" s="96"/>
      <c r="AI158" s="96"/>
      <c r="AJ158" s="96"/>
      <c r="AK158" s="96"/>
      <c r="AL158" s="83"/>
      <c r="AM158" s="83"/>
      <c r="AN158" s="83"/>
      <c r="AO158" s="83"/>
      <c r="AP158" s="96"/>
      <c r="AQ158" s="96"/>
      <c r="AR158" s="96"/>
      <c r="AS158" s="96"/>
      <c r="AT158" s="83"/>
      <c r="AU158" s="83"/>
      <c r="AV158" s="83"/>
      <c r="AW158" s="83"/>
      <c r="AX158" s="96"/>
      <c r="AY158" s="96"/>
      <c r="AZ158" s="96"/>
      <c r="BA158" s="96"/>
      <c r="BB158" s="83"/>
      <c r="BC158" s="83"/>
      <c r="BD158" s="83"/>
      <c r="BE158" s="83"/>
      <c r="BF158" s="96"/>
      <c r="BG158" s="96"/>
      <c r="BH158" s="96"/>
      <c r="BI158" s="96"/>
      <c r="BJ158" s="83"/>
      <c r="BK158" s="83"/>
      <c r="BL158" s="83"/>
      <c r="BM158" s="83"/>
      <c r="BN158" s="96"/>
      <c r="BO158" s="96"/>
      <c r="BP158" s="96"/>
      <c r="BQ158" s="96"/>
      <c r="BR158" s="83"/>
      <c r="BS158" s="83"/>
      <c r="BT158" s="83"/>
      <c r="BU158" s="83"/>
      <c r="BV158" s="96"/>
      <c r="BW158" s="96"/>
      <c r="BX158" s="96"/>
      <c r="BY158" s="96"/>
      <c r="BZ158" s="83"/>
      <c r="CA158" s="83"/>
      <c r="CB158" s="83"/>
      <c r="CC158" s="83"/>
      <c r="CD158" s="96"/>
      <c r="CE158" s="96"/>
      <c r="CF158" s="96"/>
      <c r="CG158" s="96"/>
      <c r="CH158" s="83"/>
      <c r="CI158" s="83"/>
      <c r="CJ158" s="83"/>
      <c r="CK158" s="83"/>
      <c r="CL158" s="96"/>
      <c r="CM158" s="96"/>
      <c r="CN158" s="96"/>
      <c r="CO158" s="96"/>
      <c r="CP158" s="83"/>
      <c r="CQ158" s="83"/>
      <c r="CR158" s="83"/>
      <c r="CS158" s="83"/>
      <c r="CT158" s="96"/>
      <c r="CU158" s="96"/>
      <c r="CV158" s="96"/>
      <c r="CW158" s="96"/>
      <c r="CX158" s="83"/>
      <c r="CY158" s="83"/>
      <c r="CZ158" s="83"/>
      <c r="DA158" s="83"/>
      <c r="DB158" s="91">
        <v>99481.188181818186</v>
      </c>
      <c r="DC158" s="83">
        <v>137781.44563181818</v>
      </c>
      <c r="DD158" s="96"/>
      <c r="DE158" s="102"/>
    </row>
    <row r="159" spans="1:109" x14ac:dyDescent="0.2">
      <c r="A159" s="14">
        <v>151</v>
      </c>
      <c r="B159" s="28" t="s">
        <v>228</v>
      </c>
      <c r="C159" s="14" t="s">
        <v>776</v>
      </c>
      <c r="D159" s="28"/>
      <c r="E159" s="28"/>
      <c r="F159" s="83"/>
      <c r="G159" s="83"/>
      <c r="H159" s="83"/>
      <c r="I159" s="83"/>
      <c r="J159" s="96"/>
      <c r="K159" s="96"/>
      <c r="L159" s="96"/>
      <c r="M159" s="96"/>
      <c r="N159" s="83"/>
      <c r="O159" s="83"/>
      <c r="P159" s="83"/>
      <c r="Q159" s="83"/>
      <c r="R159" s="96"/>
      <c r="S159" s="96"/>
      <c r="T159" s="96"/>
      <c r="U159" s="96"/>
      <c r="V159" s="83"/>
      <c r="W159" s="83"/>
      <c r="X159" s="83"/>
      <c r="Y159" s="83"/>
      <c r="Z159" s="96"/>
      <c r="AA159" s="96"/>
      <c r="AB159" s="96"/>
      <c r="AC159" s="96"/>
      <c r="AD159" s="83"/>
      <c r="AE159" s="83"/>
      <c r="AF159" s="83"/>
      <c r="AG159" s="83"/>
      <c r="AH159" s="96"/>
      <c r="AI159" s="96"/>
      <c r="AJ159" s="96"/>
      <c r="AK159" s="96"/>
      <c r="AL159" s="83"/>
      <c r="AM159" s="83"/>
      <c r="AN159" s="83"/>
      <c r="AO159" s="83"/>
      <c r="AP159" s="96"/>
      <c r="AQ159" s="96"/>
      <c r="AR159" s="96"/>
      <c r="AS159" s="96"/>
      <c r="AT159" s="83"/>
      <c r="AU159" s="83"/>
      <c r="AV159" s="83"/>
      <c r="AW159" s="83"/>
      <c r="AX159" s="96"/>
      <c r="AY159" s="96"/>
      <c r="AZ159" s="96"/>
      <c r="BA159" s="96"/>
      <c r="BB159" s="83"/>
      <c r="BC159" s="83"/>
      <c r="BD159" s="83"/>
      <c r="BE159" s="83"/>
      <c r="BF159" s="96"/>
      <c r="BG159" s="96"/>
      <c r="BH159" s="96"/>
      <c r="BI159" s="96"/>
      <c r="BJ159" s="83"/>
      <c r="BK159" s="83"/>
      <c r="BL159" s="83"/>
      <c r="BM159" s="83"/>
      <c r="BN159" s="96"/>
      <c r="BO159" s="96"/>
      <c r="BP159" s="96"/>
      <c r="BQ159" s="96"/>
      <c r="BR159" s="83"/>
      <c r="BS159" s="83"/>
      <c r="BT159" s="83"/>
      <c r="BU159" s="83"/>
      <c r="BV159" s="96"/>
      <c r="BW159" s="96"/>
      <c r="BX159" s="96"/>
      <c r="BY159" s="96"/>
      <c r="BZ159" s="83"/>
      <c r="CA159" s="83"/>
      <c r="CB159" s="83"/>
      <c r="CC159" s="83"/>
      <c r="CD159" s="96"/>
      <c r="CE159" s="96"/>
      <c r="CF159" s="96"/>
      <c r="CG159" s="96"/>
      <c r="CH159" s="83"/>
      <c r="CI159" s="83"/>
      <c r="CJ159" s="83"/>
      <c r="CK159" s="83"/>
      <c r="CL159" s="96"/>
      <c r="CM159" s="96"/>
      <c r="CN159" s="96"/>
      <c r="CO159" s="96"/>
      <c r="CP159" s="83"/>
      <c r="CQ159" s="83"/>
      <c r="CR159" s="83"/>
      <c r="CS159" s="83"/>
      <c r="CT159" s="96"/>
      <c r="CU159" s="96"/>
      <c r="CV159" s="96"/>
      <c r="CW159" s="96"/>
      <c r="CX159" s="83"/>
      <c r="CY159" s="83"/>
      <c r="CZ159" s="83"/>
      <c r="DA159" s="83"/>
      <c r="DB159" s="91"/>
      <c r="DC159" s="83"/>
      <c r="DD159" s="96"/>
      <c r="DE159" s="102"/>
    </row>
    <row r="160" spans="1:109" x14ac:dyDescent="0.2">
      <c r="A160" s="14">
        <v>152</v>
      </c>
      <c r="B160" s="28" t="s">
        <v>239</v>
      </c>
      <c r="C160" s="14" t="s">
        <v>777</v>
      </c>
      <c r="D160" s="28"/>
      <c r="E160" s="28"/>
      <c r="F160" s="83" t="s">
        <v>942</v>
      </c>
      <c r="G160" s="83" t="s">
        <v>658</v>
      </c>
      <c r="H160" s="83">
        <v>1</v>
      </c>
      <c r="I160" s="83">
        <v>76073.849545454548</v>
      </c>
      <c r="J160" s="96" t="s">
        <v>955</v>
      </c>
      <c r="K160" s="96" t="s">
        <v>658</v>
      </c>
      <c r="L160" s="96">
        <v>1</v>
      </c>
      <c r="M160" s="96">
        <v>76073.849545454505</v>
      </c>
      <c r="N160" s="83"/>
      <c r="O160" s="83"/>
      <c r="P160" s="83"/>
      <c r="Q160" s="83"/>
      <c r="R160" s="96"/>
      <c r="S160" s="96"/>
      <c r="T160" s="96"/>
      <c r="U160" s="96"/>
      <c r="V160" s="83"/>
      <c r="W160" s="83"/>
      <c r="X160" s="83"/>
      <c r="Y160" s="83"/>
      <c r="Z160" s="96"/>
      <c r="AA160" s="96"/>
      <c r="AB160" s="96"/>
      <c r="AC160" s="96"/>
      <c r="AD160" s="83"/>
      <c r="AE160" s="83"/>
      <c r="AF160" s="83"/>
      <c r="AG160" s="83"/>
      <c r="AH160" s="96"/>
      <c r="AI160" s="96"/>
      <c r="AJ160" s="96"/>
      <c r="AK160" s="96"/>
      <c r="AL160" s="83"/>
      <c r="AM160" s="83"/>
      <c r="AN160" s="83"/>
      <c r="AO160" s="83"/>
      <c r="AP160" s="96"/>
      <c r="AQ160" s="96"/>
      <c r="AR160" s="96"/>
      <c r="AS160" s="96"/>
      <c r="AT160" s="83"/>
      <c r="AU160" s="83"/>
      <c r="AV160" s="83"/>
      <c r="AW160" s="83"/>
      <c r="AX160" s="96"/>
      <c r="AY160" s="96"/>
      <c r="AZ160" s="96"/>
      <c r="BA160" s="96"/>
      <c r="BB160" s="83"/>
      <c r="BC160" s="83"/>
      <c r="BD160" s="83"/>
      <c r="BE160" s="83"/>
      <c r="BF160" s="96"/>
      <c r="BG160" s="96"/>
      <c r="BH160" s="96"/>
      <c r="BI160" s="96"/>
      <c r="BJ160" s="83"/>
      <c r="BK160" s="83"/>
      <c r="BL160" s="83"/>
      <c r="BM160" s="83"/>
      <c r="BN160" s="96"/>
      <c r="BO160" s="96"/>
      <c r="BP160" s="96"/>
      <c r="BQ160" s="96"/>
      <c r="BR160" s="83"/>
      <c r="BS160" s="83"/>
      <c r="BT160" s="83"/>
      <c r="BU160" s="83"/>
      <c r="BV160" s="96"/>
      <c r="BW160" s="96"/>
      <c r="BX160" s="96"/>
      <c r="BY160" s="96"/>
      <c r="BZ160" s="83"/>
      <c r="CA160" s="83"/>
      <c r="CB160" s="83"/>
      <c r="CC160" s="83"/>
      <c r="CD160" s="96"/>
      <c r="CE160" s="96"/>
      <c r="CF160" s="96"/>
      <c r="CG160" s="96"/>
      <c r="CH160" s="83"/>
      <c r="CI160" s="83"/>
      <c r="CJ160" s="83"/>
      <c r="CK160" s="83"/>
      <c r="CL160" s="96"/>
      <c r="CM160" s="96"/>
      <c r="CN160" s="96"/>
      <c r="CO160" s="96"/>
      <c r="CP160" s="83"/>
      <c r="CQ160" s="83"/>
      <c r="CR160" s="83"/>
      <c r="CS160" s="83"/>
      <c r="CT160" s="96"/>
      <c r="CU160" s="96"/>
      <c r="CV160" s="96"/>
      <c r="CW160" s="96"/>
      <c r="CX160" s="83"/>
      <c r="CY160" s="83"/>
      <c r="CZ160" s="83"/>
      <c r="DA160" s="83"/>
      <c r="DB160" s="91">
        <v>76073.849545454548</v>
      </c>
      <c r="DC160" s="83">
        <v>152147.69909090904</v>
      </c>
      <c r="DD160" s="96"/>
      <c r="DE160" s="102"/>
    </row>
    <row r="161" spans="1:3331" x14ac:dyDescent="0.2">
      <c r="A161" s="14">
        <v>153</v>
      </c>
      <c r="B161" s="28" t="s">
        <v>242</v>
      </c>
      <c r="C161" s="14" t="s">
        <v>778</v>
      </c>
      <c r="D161" s="28"/>
      <c r="E161" s="28"/>
      <c r="F161" s="83"/>
      <c r="G161" s="83"/>
      <c r="H161" s="83"/>
      <c r="I161" s="83"/>
      <c r="J161" s="96"/>
      <c r="K161" s="96"/>
      <c r="L161" s="96"/>
      <c r="M161" s="96"/>
      <c r="N161" s="83"/>
      <c r="O161" s="83"/>
      <c r="P161" s="83"/>
      <c r="Q161" s="83"/>
      <c r="R161" s="96"/>
      <c r="S161" s="96"/>
      <c r="T161" s="96"/>
      <c r="U161" s="96"/>
      <c r="V161" s="83"/>
      <c r="W161" s="83"/>
      <c r="X161" s="83"/>
      <c r="Y161" s="83"/>
      <c r="Z161" s="96"/>
      <c r="AA161" s="96"/>
      <c r="AB161" s="96"/>
      <c r="AC161" s="96"/>
      <c r="AD161" s="83"/>
      <c r="AE161" s="83"/>
      <c r="AF161" s="83"/>
      <c r="AG161" s="83"/>
      <c r="AH161" s="96"/>
      <c r="AI161" s="96"/>
      <c r="AJ161" s="96"/>
      <c r="AK161" s="96"/>
      <c r="AL161" s="83"/>
      <c r="AM161" s="83"/>
      <c r="AN161" s="83"/>
      <c r="AO161" s="83"/>
      <c r="AP161" s="96"/>
      <c r="AQ161" s="96"/>
      <c r="AR161" s="96"/>
      <c r="AS161" s="96"/>
      <c r="AT161" s="83"/>
      <c r="AU161" s="83"/>
      <c r="AV161" s="83"/>
      <c r="AW161" s="83"/>
      <c r="AX161" s="96"/>
      <c r="AY161" s="96"/>
      <c r="AZ161" s="96"/>
      <c r="BA161" s="96"/>
      <c r="BB161" s="83"/>
      <c r="BC161" s="83"/>
      <c r="BD161" s="83"/>
      <c r="BE161" s="83"/>
      <c r="BF161" s="96"/>
      <c r="BG161" s="96"/>
      <c r="BH161" s="96"/>
      <c r="BI161" s="96"/>
      <c r="BJ161" s="83"/>
      <c r="BK161" s="83"/>
      <c r="BL161" s="83"/>
      <c r="BM161" s="83"/>
      <c r="BN161" s="96"/>
      <c r="BO161" s="96"/>
      <c r="BP161" s="96"/>
      <c r="BQ161" s="96"/>
      <c r="BR161" s="83"/>
      <c r="BS161" s="83"/>
      <c r="BT161" s="83"/>
      <c r="BU161" s="83"/>
      <c r="BV161" s="96"/>
      <c r="BW161" s="96"/>
      <c r="BX161" s="96"/>
      <c r="BY161" s="96"/>
      <c r="BZ161" s="83"/>
      <c r="CA161" s="83"/>
      <c r="CB161" s="83"/>
      <c r="CC161" s="83"/>
      <c r="CD161" s="96"/>
      <c r="CE161" s="96"/>
      <c r="CF161" s="96"/>
      <c r="CG161" s="96"/>
      <c r="CH161" s="83"/>
      <c r="CI161" s="83"/>
      <c r="CJ161" s="83"/>
      <c r="CK161" s="83"/>
      <c r="CL161" s="96"/>
      <c r="CM161" s="96"/>
      <c r="CN161" s="96"/>
      <c r="CO161" s="96"/>
      <c r="CP161" s="83"/>
      <c r="CQ161" s="83"/>
      <c r="CR161" s="83"/>
      <c r="CS161" s="83"/>
      <c r="CT161" s="96"/>
      <c r="CU161" s="96"/>
      <c r="CV161" s="96"/>
      <c r="CW161" s="96"/>
      <c r="CX161" s="83"/>
      <c r="CY161" s="83"/>
      <c r="CZ161" s="83"/>
      <c r="DA161" s="83"/>
      <c r="DB161" s="91"/>
      <c r="DC161" s="83"/>
      <c r="DD161" s="96"/>
      <c r="DE161" s="102"/>
    </row>
    <row r="162" spans="1:3331" x14ac:dyDescent="0.2">
      <c r="A162" s="14">
        <v>154</v>
      </c>
      <c r="B162" s="28" t="s">
        <v>862</v>
      </c>
      <c r="C162" s="14" t="s">
        <v>779</v>
      </c>
      <c r="D162" s="28"/>
      <c r="E162" s="28"/>
      <c r="F162" s="83"/>
      <c r="G162" s="83"/>
      <c r="H162" s="83"/>
      <c r="I162" s="83"/>
      <c r="J162" s="96"/>
      <c r="K162" s="96"/>
      <c r="L162" s="96"/>
      <c r="M162" s="96"/>
      <c r="N162" s="83"/>
      <c r="O162" s="83"/>
      <c r="P162" s="83"/>
      <c r="Q162" s="83"/>
      <c r="R162" s="96"/>
      <c r="S162" s="96"/>
      <c r="T162" s="96"/>
      <c r="U162" s="96"/>
      <c r="V162" s="83"/>
      <c r="W162" s="83"/>
      <c r="X162" s="83"/>
      <c r="Y162" s="83"/>
      <c r="Z162" s="96"/>
      <c r="AA162" s="96"/>
      <c r="AB162" s="96"/>
      <c r="AC162" s="96"/>
      <c r="AD162" s="83"/>
      <c r="AE162" s="83"/>
      <c r="AF162" s="83"/>
      <c r="AG162" s="83"/>
      <c r="AH162" s="96"/>
      <c r="AI162" s="96"/>
      <c r="AJ162" s="96"/>
      <c r="AK162" s="96"/>
      <c r="AL162" s="83"/>
      <c r="AM162" s="83"/>
      <c r="AN162" s="83"/>
      <c r="AO162" s="83"/>
      <c r="AP162" s="96"/>
      <c r="AQ162" s="96"/>
      <c r="AR162" s="96"/>
      <c r="AS162" s="96"/>
      <c r="AT162" s="83"/>
      <c r="AU162" s="83"/>
      <c r="AV162" s="83"/>
      <c r="AW162" s="83"/>
      <c r="AX162" s="96"/>
      <c r="AY162" s="96"/>
      <c r="AZ162" s="96"/>
      <c r="BA162" s="96"/>
      <c r="BB162" s="83"/>
      <c r="BC162" s="83"/>
      <c r="BD162" s="83"/>
      <c r="BE162" s="83"/>
      <c r="BF162" s="96"/>
      <c r="BG162" s="96"/>
      <c r="BH162" s="96"/>
      <c r="BI162" s="96"/>
      <c r="BJ162" s="83"/>
      <c r="BK162" s="83"/>
      <c r="BL162" s="83"/>
      <c r="BM162" s="83"/>
      <c r="BN162" s="96"/>
      <c r="BO162" s="96"/>
      <c r="BP162" s="96"/>
      <c r="BQ162" s="96"/>
      <c r="BR162" s="83"/>
      <c r="BS162" s="83"/>
      <c r="BT162" s="83"/>
      <c r="BU162" s="83"/>
      <c r="BV162" s="96"/>
      <c r="BW162" s="96"/>
      <c r="BX162" s="96"/>
      <c r="BY162" s="96"/>
      <c r="BZ162" s="83"/>
      <c r="CA162" s="83"/>
      <c r="CB162" s="83"/>
      <c r="CC162" s="83"/>
      <c r="CD162" s="96"/>
      <c r="CE162" s="96"/>
      <c r="CF162" s="96"/>
      <c r="CG162" s="96"/>
      <c r="CH162" s="83"/>
      <c r="CI162" s="83"/>
      <c r="CJ162" s="83"/>
      <c r="CK162" s="83"/>
      <c r="CL162" s="96"/>
      <c r="CM162" s="96"/>
      <c r="CN162" s="96"/>
      <c r="CO162" s="96"/>
      <c r="CP162" s="83"/>
      <c r="CQ162" s="83"/>
      <c r="CR162" s="83"/>
      <c r="CS162" s="83"/>
      <c r="CT162" s="96"/>
      <c r="CU162" s="96"/>
      <c r="CV162" s="96"/>
      <c r="CW162" s="96"/>
      <c r="CX162" s="83"/>
      <c r="CY162" s="83"/>
      <c r="CZ162" s="83"/>
      <c r="DA162" s="83"/>
      <c r="DB162" s="91"/>
      <c r="DC162" s="83"/>
      <c r="DD162" s="96"/>
      <c r="DE162" s="102"/>
    </row>
    <row r="163" spans="1:3331" x14ac:dyDescent="0.2">
      <c r="A163" s="14">
        <v>155</v>
      </c>
      <c r="B163" s="28" t="s">
        <v>246</v>
      </c>
      <c r="C163" s="14" t="s">
        <v>780</v>
      </c>
      <c r="D163" s="28"/>
      <c r="E163" s="28"/>
      <c r="F163" s="83"/>
      <c r="G163" s="83"/>
      <c r="H163" s="83"/>
      <c r="I163" s="83"/>
      <c r="J163" s="93"/>
      <c r="K163" s="94"/>
      <c r="L163" s="94"/>
      <c r="M163" s="96"/>
      <c r="N163" s="83"/>
      <c r="O163" s="83"/>
      <c r="P163" s="83"/>
      <c r="Q163" s="83"/>
      <c r="R163" s="96"/>
      <c r="S163" s="96"/>
      <c r="T163" s="96"/>
      <c r="U163" s="96"/>
      <c r="V163" s="83"/>
      <c r="W163" s="83"/>
      <c r="X163" s="83"/>
      <c r="Y163" s="83"/>
      <c r="Z163" s="96"/>
      <c r="AA163" s="96"/>
      <c r="AB163" s="96"/>
      <c r="AC163" s="96"/>
      <c r="AD163" s="83"/>
      <c r="AE163" s="83"/>
      <c r="AF163" s="83"/>
      <c r="AG163" s="83"/>
      <c r="AH163" s="96"/>
      <c r="AI163" s="96"/>
      <c r="AJ163" s="96"/>
      <c r="AK163" s="96"/>
      <c r="AL163" s="83"/>
      <c r="AM163" s="83"/>
      <c r="AN163" s="83"/>
      <c r="AO163" s="83"/>
      <c r="AP163" s="96"/>
      <c r="AQ163" s="96"/>
      <c r="AR163" s="96"/>
      <c r="AS163" s="96"/>
      <c r="AT163" s="83"/>
      <c r="AU163" s="83"/>
      <c r="AV163" s="83"/>
      <c r="AW163" s="83"/>
      <c r="AX163" s="96"/>
      <c r="AY163" s="96"/>
      <c r="AZ163" s="96"/>
      <c r="BA163" s="96"/>
      <c r="BB163" s="83"/>
      <c r="BC163" s="83"/>
      <c r="BD163" s="83"/>
      <c r="BE163" s="83"/>
      <c r="BF163" s="96"/>
      <c r="BG163" s="96"/>
      <c r="BH163" s="96"/>
      <c r="BI163" s="96"/>
      <c r="BJ163" s="83"/>
      <c r="BK163" s="83"/>
      <c r="BL163" s="83"/>
      <c r="BM163" s="83"/>
      <c r="BN163" s="96"/>
      <c r="BO163" s="96"/>
      <c r="BP163" s="96"/>
      <c r="BQ163" s="96"/>
      <c r="BR163" s="83"/>
      <c r="BS163" s="83"/>
      <c r="BT163" s="83"/>
      <c r="BU163" s="83"/>
      <c r="BV163" s="96"/>
      <c r="BW163" s="96"/>
      <c r="BX163" s="96"/>
      <c r="BY163" s="96"/>
      <c r="BZ163" s="83"/>
      <c r="CA163" s="83"/>
      <c r="CB163" s="83"/>
      <c r="CC163" s="83"/>
      <c r="CD163" s="96"/>
      <c r="CE163" s="96"/>
      <c r="CF163" s="96"/>
      <c r="CG163" s="96"/>
      <c r="CH163" s="83"/>
      <c r="CI163" s="83"/>
      <c r="CJ163" s="83"/>
      <c r="CK163" s="83"/>
      <c r="CL163" s="96"/>
      <c r="CM163" s="96"/>
      <c r="CN163" s="96"/>
      <c r="CO163" s="96"/>
      <c r="CP163" s="83"/>
      <c r="CQ163" s="83"/>
      <c r="CR163" s="83"/>
      <c r="CS163" s="83"/>
      <c r="CT163" s="96"/>
      <c r="CU163" s="96"/>
      <c r="CV163" s="96"/>
      <c r="CW163" s="96"/>
      <c r="CX163" s="83"/>
      <c r="CY163" s="83"/>
      <c r="CZ163" s="83"/>
      <c r="DA163" s="83"/>
      <c r="DB163" s="91"/>
      <c r="DC163" s="83"/>
      <c r="DD163" s="96"/>
      <c r="DE163" s="102"/>
    </row>
    <row r="164" spans="1:3331" x14ac:dyDescent="0.2">
      <c r="A164" s="14">
        <v>156</v>
      </c>
      <c r="B164" s="28" t="s">
        <v>863</v>
      </c>
      <c r="C164" s="14" t="s">
        <v>781</v>
      </c>
      <c r="D164" s="53"/>
      <c r="E164" s="53"/>
      <c r="F164" s="84"/>
      <c r="G164" s="84"/>
      <c r="H164" s="84"/>
      <c r="I164" s="84"/>
      <c r="J164" s="97"/>
      <c r="K164" s="97"/>
      <c r="L164" s="97"/>
      <c r="M164" s="97"/>
      <c r="N164" s="84"/>
      <c r="O164" s="84"/>
      <c r="P164" s="84"/>
      <c r="Q164" s="84"/>
      <c r="R164" s="97"/>
      <c r="S164" s="97"/>
      <c r="T164" s="97"/>
      <c r="U164" s="97"/>
      <c r="V164" s="84"/>
      <c r="W164" s="84"/>
      <c r="X164" s="84"/>
      <c r="Y164" s="84"/>
      <c r="Z164" s="97"/>
      <c r="AA164" s="97"/>
      <c r="AB164" s="97"/>
      <c r="AC164" s="97"/>
      <c r="AD164" s="84"/>
      <c r="AE164" s="84"/>
      <c r="AF164" s="84"/>
      <c r="AG164" s="84"/>
      <c r="AH164" s="97"/>
      <c r="AI164" s="97"/>
      <c r="AJ164" s="97"/>
      <c r="AK164" s="97"/>
      <c r="AL164" s="84"/>
      <c r="AM164" s="84"/>
      <c r="AN164" s="84"/>
      <c r="AO164" s="84"/>
      <c r="AP164" s="97"/>
      <c r="AQ164" s="97"/>
      <c r="AR164" s="97"/>
      <c r="AS164" s="97"/>
      <c r="AT164" s="84"/>
      <c r="AU164" s="84"/>
      <c r="AV164" s="84"/>
      <c r="AW164" s="84"/>
      <c r="AX164" s="97"/>
      <c r="AY164" s="97"/>
      <c r="AZ164" s="97"/>
      <c r="BA164" s="97"/>
      <c r="BB164" s="84"/>
      <c r="BC164" s="84"/>
      <c r="BD164" s="84"/>
      <c r="BE164" s="84"/>
      <c r="BF164" s="97"/>
      <c r="BG164" s="97"/>
      <c r="BH164" s="97"/>
      <c r="BI164" s="97"/>
      <c r="BJ164" s="84"/>
      <c r="BK164" s="84"/>
      <c r="BL164" s="84"/>
      <c r="BM164" s="84"/>
      <c r="BN164" s="97"/>
      <c r="BO164" s="97"/>
      <c r="BP164" s="97"/>
      <c r="BQ164" s="97"/>
      <c r="BR164" s="84"/>
      <c r="BS164" s="84"/>
      <c r="BT164" s="84"/>
      <c r="BU164" s="84"/>
      <c r="BV164" s="97"/>
      <c r="BW164" s="97"/>
      <c r="BX164" s="97"/>
      <c r="BY164" s="97"/>
      <c r="BZ164" s="84"/>
      <c r="CA164" s="84"/>
      <c r="CB164" s="84"/>
      <c r="CC164" s="84"/>
      <c r="CD164" s="97"/>
      <c r="CE164" s="97"/>
      <c r="CF164" s="97"/>
      <c r="CG164" s="97"/>
      <c r="CH164" s="84"/>
      <c r="CI164" s="84"/>
      <c r="CJ164" s="84"/>
      <c r="CK164" s="84"/>
      <c r="CL164" s="97"/>
      <c r="CM164" s="97"/>
      <c r="CN164" s="97"/>
      <c r="CO164" s="97"/>
      <c r="CP164" s="84"/>
      <c r="CQ164" s="84"/>
      <c r="CR164" s="84"/>
      <c r="CS164" s="84"/>
      <c r="CT164" s="97"/>
      <c r="CU164" s="97"/>
      <c r="CV164" s="97"/>
      <c r="CW164" s="97"/>
      <c r="CX164" s="84"/>
      <c r="CY164" s="84"/>
      <c r="CZ164" s="84"/>
      <c r="DA164" s="84"/>
      <c r="DB164" s="100"/>
      <c r="DC164" s="84"/>
      <c r="DD164" s="97"/>
      <c r="DE164" s="103"/>
    </row>
    <row r="165" spans="1:3331" s="28" customFormat="1" x14ac:dyDescent="0.2">
      <c r="A165" s="14">
        <v>157</v>
      </c>
      <c r="B165" s="28" t="s">
        <v>250</v>
      </c>
      <c r="C165" s="14" t="s">
        <v>782</v>
      </c>
      <c r="F165" s="83" t="s">
        <v>938</v>
      </c>
      <c r="G165" s="83" t="s">
        <v>657</v>
      </c>
      <c r="H165" s="83">
        <v>1.0375000000000001</v>
      </c>
      <c r="I165" s="83">
        <v>103211.73273863638</v>
      </c>
      <c r="J165" s="96"/>
      <c r="K165" s="96"/>
      <c r="L165" s="96"/>
      <c r="M165" s="96"/>
      <c r="N165" s="83"/>
      <c r="O165" s="83"/>
      <c r="P165" s="83"/>
      <c r="Q165" s="83"/>
      <c r="R165" s="96"/>
      <c r="S165" s="96"/>
      <c r="T165" s="96"/>
      <c r="U165" s="96"/>
      <c r="V165" s="83"/>
      <c r="W165" s="83"/>
      <c r="X165" s="83"/>
      <c r="Y165" s="83"/>
      <c r="Z165" s="96"/>
      <c r="AA165" s="96"/>
      <c r="AB165" s="96"/>
      <c r="AC165" s="96"/>
      <c r="AD165" s="83"/>
      <c r="AE165" s="83"/>
      <c r="AF165" s="83"/>
      <c r="AG165" s="83"/>
      <c r="AH165" s="96"/>
      <c r="AI165" s="96"/>
      <c r="AJ165" s="96"/>
      <c r="AK165" s="96"/>
      <c r="AL165" s="83"/>
      <c r="AM165" s="83"/>
      <c r="AN165" s="83"/>
      <c r="AO165" s="83"/>
      <c r="AP165" s="96"/>
      <c r="AQ165" s="96"/>
      <c r="AR165" s="96"/>
      <c r="AS165" s="96"/>
      <c r="AT165" s="83"/>
      <c r="AU165" s="83"/>
      <c r="AV165" s="83"/>
      <c r="AW165" s="83"/>
      <c r="AX165" s="96"/>
      <c r="AY165" s="96"/>
      <c r="AZ165" s="96"/>
      <c r="BA165" s="96"/>
      <c r="BB165" s="83"/>
      <c r="BC165" s="83"/>
      <c r="BD165" s="83"/>
      <c r="BE165" s="83"/>
      <c r="BF165" s="96"/>
      <c r="BG165" s="96"/>
      <c r="BH165" s="96"/>
      <c r="BI165" s="96"/>
      <c r="BJ165" s="83"/>
      <c r="BK165" s="83"/>
      <c r="BL165" s="83"/>
      <c r="BM165" s="83"/>
      <c r="BN165" s="96"/>
      <c r="BO165" s="96"/>
      <c r="BP165" s="96"/>
      <c r="BQ165" s="96"/>
      <c r="BR165" s="83"/>
      <c r="BS165" s="83"/>
      <c r="BT165" s="83"/>
      <c r="BU165" s="83"/>
      <c r="BV165" s="96"/>
      <c r="BW165" s="96"/>
      <c r="BX165" s="96"/>
      <c r="BY165" s="96"/>
      <c r="BZ165" s="83"/>
      <c r="CA165" s="83"/>
      <c r="CB165" s="83"/>
      <c r="CC165" s="83"/>
      <c r="CD165" s="96"/>
      <c r="CE165" s="96"/>
      <c r="CF165" s="96"/>
      <c r="CG165" s="96"/>
      <c r="CH165" s="83"/>
      <c r="CI165" s="83"/>
      <c r="CJ165" s="83"/>
      <c r="CK165" s="83"/>
      <c r="CL165" s="96"/>
      <c r="CM165" s="96"/>
      <c r="CN165" s="96"/>
      <c r="CO165" s="96"/>
      <c r="CP165" s="83"/>
      <c r="CQ165" s="83"/>
      <c r="CR165" s="83"/>
      <c r="CS165" s="83"/>
      <c r="CT165" s="96"/>
      <c r="CU165" s="96"/>
      <c r="CV165" s="96"/>
      <c r="CW165" s="96"/>
      <c r="CX165" s="83"/>
      <c r="CY165" s="83"/>
      <c r="CZ165" s="83"/>
      <c r="DA165" s="83"/>
      <c r="DB165" s="96">
        <v>99481.188181818186</v>
      </c>
      <c r="DC165" s="83">
        <v>103211.73273863638</v>
      </c>
      <c r="DD165" s="96"/>
      <c r="DE165" s="104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  <c r="EF165" s="16"/>
      <c r="EG165" s="16"/>
      <c r="EH165" s="16"/>
      <c r="EI165" s="16"/>
      <c r="EJ165" s="16"/>
      <c r="EK165" s="16"/>
      <c r="EL165" s="16"/>
      <c r="EM165" s="16"/>
      <c r="EN165" s="16"/>
      <c r="EO165" s="16"/>
      <c r="EP165" s="16"/>
      <c r="EQ165" s="16"/>
      <c r="ER165" s="16"/>
      <c r="ES165" s="16"/>
      <c r="ET165" s="16"/>
      <c r="EU165" s="16"/>
      <c r="EV165" s="16"/>
      <c r="EW165" s="16"/>
      <c r="EX165" s="16"/>
      <c r="EY165" s="16"/>
      <c r="EZ165" s="16"/>
      <c r="FA165" s="16"/>
      <c r="FB165" s="16"/>
      <c r="FC165" s="16"/>
      <c r="FD165" s="16"/>
      <c r="FE165" s="16"/>
      <c r="FF165" s="16"/>
      <c r="FG165" s="16"/>
      <c r="FH165" s="16"/>
      <c r="FI165" s="16"/>
      <c r="FJ165" s="16"/>
      <c r="FK165" s="16"/>
      <c r="FL165" s="16"/>
      <c r="FM165" s="16"/>
      <c r="FN165" s="16"/>
      <c r="FO165" s="16"/>
      <c r="FP165" s="16"/>
      <c r="FQ165" s="16"/>
      <c r="FR165" s="16"/>
      <c r="FS165" s="16"/>
      <c r="FT165" s="16"/>
      <c r="FU165" s="16"/>
      <c r="FV165" s="16"/>
      <c r="FW165" s="16"/>
      <c r="FX165" s="16"/>
      <c r="FY165" s="16"/>
      <c r="FZ165" s="16"/>
      <c r="GA165" s="16"/>
      <c r="GB165" s="16"/>
      <c r="GC165" s="16"/>
      <c r="GD165" s="16"/>
      <c r="GE165" s="16"/>
      <c r="GF165" s="16"/>
      <c r="GG165" s="16"/>
      <c r="GH165" s="16"/>
      <c r="GI165" s="16"/>
      <c r="GJ165" s="16"/>
      <c r="GK165" s="16"/>
      <c r="GL165" s="16"/>
      <c r="GM165" s="16"/>
      <c r="GN165" s="16"/>
      <c r="GO165" s="16"/>
      <c r="GP165" s="16"/>
      <c r="GQ165" s="16"/>
      <c r="GR165" s="16"/>
      <c r="GS165" s="16"/>
      <c r="GT165" s="16"/>
      <c r="GU165" s="16"/>
      <c r="GV165" s="16"/>
      <c r="GW165" s="16"/>
      <c r="GX165" s="16"/>
      <c r="GY165" s="16"/>
      <c r="GZ165" s="16"/>
      <c r="HA165" s="16"/>
      <c r="HB165" s="16"/>
      <c r="HC165" s="16"/>
      <c r="HD165" s="16"/>
      <c r="HE165" s="16"/>
      <c r="HF165" s="16"/>
      <c r="HG165" s="16"/>
      <c r="HH165" s="16"/>
      <c r="HI165" s="16"/>
      <c r="HJ165" s="16"/>
      <c r="HK165" s="16"/>
      <c r="HL165" s="16"/>
      <c r="HM165" s="16"/>
      <c r="HN165" s="16"/>
      <c r="HO165" s="16"/>
      <c r="HP165" s="16"/>
      <c r="HQ165" s="16"/>
      <c r="HR165" s="16"/>
      <c r="HS165" s="16"/>
      <c r="HT165" s="16"/>
      <c r="HU165" s="16"/>
      <c r="HV165" s="16"/>
      <c r="HW165" s="16"/>
      <c r="HX165" s="16"/>
      <c r="HY165" s="16"/>
      <c r="HZ165" s="16"/>
      <c r="IA165" s="16"/>
      <c r="IB165" s="16"/>
      <c r="IC165" s="16"/>
      <c r="ID165" s="16"/>
      <c r="IE165" s="16"/>
      <c r="IF165" s="16"/>
      <c r="IG165" s="16"/>
      <c r="IH165" s="16"/>
      <c r="II165" s="16"/>
      <c r="IJ165" s="16"/>
      <c r="IK165" s="16"/>
      <c r="IL165" s="16"/>
      <c r="IM165" s="16"/>
      <c r="IN165" s="16"/>
      <c r="IO165" s="16"/>
      <c r="IP165" s="16"/>
      <c r="IQ165" s="16"/>
      <c r="IR165" s="16"/>
      <c r="IS165" s="16"/>
      <c r="IT165" s="16"/>
      <c r="IU165" s="16"/>
      <c r="IV165" s="16"/>
      <c r="IW165" s="16"/>
      <c r="IX165" s="16"/>
      <c r="IY165" s="16"/>
      <c r="IZ165" s="16"/>
      <c r="JA165" s="16"/>
      <c r="JB165" s="16"/>
      <c r="JC165" s="16"/>
      <c r="JD165" s="16"/>
      <c r="JE165" s="16"/>
      <c r="JF165" s="16"/>
      <c r="JG165" s="16"/>
      <c r="JH165" s="16"/>
      <c r="JI165" s="16"/>
      <c r="JJ165" s="16"/>
      <c r="JK165" s="16"/>
      <c r="JL165" s="16"/>
      <c r="JM165" s="16"/>
      <c r="JN165" s="16"/>
      <c r="JO165" s="16"/>
      <c r="JP165" s="16"/>
      <c r="JQ165" s="16"/>
      <c r="JR165" s="16"/>
      <c r="JS165" s="16"/>
      <c r="JT165" s="16"/>
      <c r="JU165" s="16"/>
      <c r="JV165" s="16"/>
      <c r="JW165" s="16"/>
      <c r="JX165" s="16"/>
      <c r="JY165" s="16"/>
      <c r="JZ165" s="16"/>
      <c r="KA165" s="16"/>
      <c r="KB165" s="16"/>
      <c r="KC165" s="16"/>
      <c r="KD165" s="16"/>
      <c r="KE165" s="16"/>
      <c r="KF165" s="16"/>
      <c r="KG165" s="16"/>
      <c r="KH165" s="16"/>
      <c r="KI165" s="16"/>
      <c r="KJ165" s="16"/>
      <c r="KK165" s="16"/>
      <c r="KL165" s="16"/>
      <c r="KM165" s="16"/>
      <c r="KN165" s="16"/>
      <c r="KO165" s="16"/>
      <c r="KP165" s="16"/>
      <c r="KQ165" s="16"/>
      <c r="KR165" s="16"/>
      <c r="KS165" s="16"/>
      <c r="KT165" s="16"/>
      <c r="KU165" s="16"/>
      <c r="KV165" s="16"/>
      <c r="KW165" s="16"/>
      <c r="KX165" s="16"/>
      <c r="KY165" s="16"/>
      <c r="KZ165" s="16"/>
      <c r="LA165" s="16"/>
      <c r="LB165" s="16"/>
      <c r="LC165" s="16"/>
      <c r="LD165" s="16"/>
      <c r="LE165" s="16"/>
      <c r="LF165" s="16"/>
      <c r="LG165" s="16"/>
      <c r="LH165" s="16"/>
      <c r="LI165" s="16"/>
      <c r="LJ165" s="16"/>
      <c r="LK165" s="16"/>
      <c r="LL165" s="16"/>
      <c r="LM165" s="16"/>
      <c r="LN165" s="16"/>
      <c r="LO165" s="16"/>
      <c r="LP165" s="16"/>
      <c r="LQ165" s="16"/>
      <c r="LR165" s="16"/>
      <c r="LS165" s="16"/>
      <c r="LT165" s="16"/>
      <c r="LU165" s="16"/>
      <c r="LV165" s="16"/>
      <c r="LW165" s="16"/>
      <c r="LX165" s="16"/>
      <c r="LY165" s="16"/>
      <c r="LZ165" s="16"/>
      <c r="MA165" s="16"/>
      <c r="MB165" s="16"/>
      <c r="MC165" s="16"/>
      <c r="MD165" s="16"/>
      <c r="ME165" s="16"/>
      <c r="MF165" s="16"/>
      <c r="MG165" s="16"/>
      <c r="MH165" s="16"/>
      <c r="MI165" s="16"/>
      <c r="MJ165" s="16"/>
      <c r="MK165" s="16"/>
      <c r="ML165" s="16"/>
      <c r="MM165" s="16"/>
      <c r="MN165" s="16"/>
      <c r="MO165" s="16"/>
      <c r="MP165" s="16"/>
      <c r="MQ165" s="16"/>
      <c r="MR165" s="16"/>
      <c r="MS165" s="16"/>
      <c r="MT165" s="16"/>
      <c r="MU165" s="16"/>
      <c r="MV165" s="16"/>
      <c r="MW165" s="16"/>
      <c r="MX165" s="16"/>
      <c r="MY165" s="16"/>
      <c r="MZ165" s="16"/>
      <c r="NA165" s="16"/>
      <c r="NB165" s="16"/>
      <c r="NC165" s="16"/>
      <c r="ND165" s="16"/>
      <c r="NE165" s="16"/>
      <c r="NF165" s="16"/>
      <c r="NG165" s="16"/>
      <c r="NH165" s="16"/>
      <c r="NI165" s="16"/>
      <c r="NJ165" s="16"/>
      <c r="NK165" s="16"/>
      <c r="NL165" s="16"/>
      <c r="NM165" s="16"/>
      <c r="NN165" s="16"/>
      <c r="NO165" s="16"/>
      <c r="NP165" s="16"/>
      <c r="NQ165" s="16"/>
      <c r="NR165" s="16"/>
      <c r="NS165" s="16"/>
      <c r="NT165" s="16"/>
      <c r="NU165" s="16"/>
      <c r="NV165" s="16"/>
      <c r="NW165" s="16"/>
      <c r="NX165" s="16"/>
      <c r="NY165" s="16"/>
      <c r="NZ165" s="16"/>
      <c r="OA165" s="16"/>
      <c r="OB165" s="16"/>
      <c r="OC165" s="16"/>
      <c r="OD165" s="16"/>
      <c r="OE165" s="16"/>
      <c r="OF165" s="16"/>
      <c r="OG165" s="16"/>
      <c r="OH165" s="16"/>
      <c r="OI165" s="16"/>
      <c r="OJ165" s="16"/>
      <c r="OK165" s="16"/>
      <c r="OL165" s="16"/>
      <c r="OM165" s="16"/>
      <c r="ON165" s="16"/>
      <c r="OO165" s="16"/>
      <c r="OP165" s="16"/>
      <c r="OQ165" s="16"/>
      <c r="OR165" s="16"/>
      <c r="OS165" s="16"/>
      <c r="OT165" s="16"/>
      <c r="OU165" s="16"/>
      <c r="OV165" s="16"/>
      <c r="OW165" s="16"/>
      <c r="OX165" s="16"/>
      <c r="OY165" s="16"/>
      <c r="OZ165" s="16"/>
      <c r="PA165" s="16"/>
      <c r="PB165" s="16"/>
      <c r="PC165" s="16"/>
      <c r="PD165" s="16"/>
      <c r="PE165" s="16"/>
      <c r="PF165" s="16"/>
      <c r="PG165" s="16"/>
      <c r="PH165" s="16"/>
      <c r="PI165" s="16"/>
      <c r="PJ165" s="16"/>
      <c r="PK165" s="16"/>
      <c r="PL165" s="16"/>
      <c r="PM165" s="16"/>
      <c r="PN165" s="16"/>
      <c r="PO165" s="16"/>
      <c r="PP165" s="16"/>
      <c r="PQ165" s="16"/>
      <c r="PR165" s="16"/>
      <c r="PS165" s="16"/>
      <c r="PT165" s="16"/>
      <c r="PU165" s="16"/>
      <c r="PV165" s="16"/>
      <c r="PW165" s="16"/>
      <c r="PX165" s="16"/>
      <c r="PY165" s="16"/>
      <c r="PZ165" s="16"/>
      <c r="QA165" s="16"/>
      <c r="QB165" s="16"/>
      <c r="QC165" s="16"/>
      <c r="QD165" s="16"/>
      <c r="QE165" s="16"/>
      <c r="QF165" s="16"/>
      <c r="QG165" s="16"/>
      <c r="QH165" s="16"/>
      <c r="QI165" s="16"/>
      <c r="QJ165" s="16"/>
      <c r="QK165" s="16"/>
      <c r="QL165" s="16"/>
      <c r="QM165" s="16"/>
      <c r="QN165" s="16"/>
      <c r="QO165" s="16"/>
      <c r="QP165" s="16"/>
      <c r="QQ165" s="16"/>
      <c r="QR165" s="16"/>
      <c r="QS165" s="16"/>
      <c r="QT165" s="16"/>
      <c r="QU165" s="16"/>
      <c r="QV165" s="16"/>
      <c r="QW165" s="16"/>
      <c r="QX165" s="16"/>
      <c r="QY165" s="16"/>
      <c r="QZ165" s="16"/>
      <c r="RA165" s="16"/>
      <c r="RB165" s="16"/>
      <c r="RC165" s="16"/>
      <c r="RD165" s="16"/>
      <c r="RE165" s="16"/>
      <c r="RF165" s="16"/>
      <c r="RG165" s="16"/>
      <c r="RH165" s="16"/>
      <c r="RI165" s="16"/>
      <c r="RJ165" s="16"/>
      <c r="RK165" s="16"/>
      <c r="RL165" s="16"/>
      <c r="RM165" s="16"/>
      <c r="RN165" s="16"/>
      <c r="RO165" s="16"/>
      <c r="RP165" s="16"/>
      <c r="RQ165" s="16"/>
      <c r="RR165" s="16"/>
      <c r="RS165" s="16"/>
      <c r="RT165" s="16"/>
      <c r="RU165" s="16"/>
      <c r="RV165" s="16"/>
      <c r="RW165" s="16"/>
      <c r="RX165" s="16"/>
      <c r="RY165" s="16"/>
      <c r="RZ165" s="16"/>
      <c r="SA165" s="16"/>
      <c r="SB165" s="16"/>
      <c r="SC165" s="16"/>
      <c r="SD165" s="16"/>
      <c r="SE165" s="16"/>
      <c r="SF165" s="16"/>
      <c r="SG165" s="16"/>
      <c r="SH165" s="16"/>
      <c r="SI165" s="16"/>
      <c r="SJ165" s="16"/>
      <c r="SK165" s="16"/>
      <c r="SL165" s="16"/>
      <c r="SM165" s="16"/>
      <c r="SN165" s="16"/>
      <c r="SO165" s="16"/>
      <c r="SP165" s="16"/>
      <c r="SQ165" s="16"/>
      <c r="SR165" s="16"/>
      <c r="SS165" s="16"/>
      <c r="ST165" s="16"/>
      <c r="SU165" s="16"/>
      <c r="SV165" s="16"/>
      <c r="SW165" s="16"/>
      <c r="SX165" s="16"/>
      <c r="SY165" s="16"/>
      <c r="SZ165" s="16"/>
      <c r="TA165" s="16"/>
      <c r="TB165" s="16"/>
      <c r="TC165" s="16"/>
      <c r="TD165" s="16"/>
      <c r="TE165" s="16"/>
      <c r="TF165" s="16"/>
      <c r="TG165" s="16"/>
      <c r="TH165" s="16"/>
      <c r="TI165" s="16"/>
      <c r="TJ165" s="16"/>
      <c r="TK165" s="16"/>
      <c r="TL165" s="16"/>
      <c r="TM165" s="16"/>
      <c r="TN165" s="16"/>
      <c r="TO165" s="16"/>
      <c r="TP165" s="16"/>
      <c r="TQ165" s="16"/>
      <c r="TR165" s="16"/>
      <c r="TS165" s="16"/>
      <c r="TT165" s="16"/>
      <c r="TU165" s="16"/>
      <c r="TV165" s="16"/>
      <c r="TW165" s="16"/>
      <c r="TX165" s="16"/>
      <c r="TY165" s="16"/>
      <c r="TZ165" s="16"/>
      <c r="UA165" s="16"/>
      <c r="UB165" s="16"/>
      <c r="UC165" s="16"/>
      <c r="UD165" s="16"/>
      <c r="UE165" s="16"/>
      <c r="UF165" s="16"/>
      <c r="UG165" s="16"/>
      <c r="UH165" s="16"/>
      <c r="UI165" s="16"/>
      <c r="UJ165" s="16"/>
      <c r="UK165" s="16"/>
      <c r="UL165" s="16"/>
      <c r="UM165" s="16"/>
      <c r="UN165" s="16"/>
      <c r="UO165" s="16"/>
      <c r="UP165" s="16"/>
      <c r="UQ165" s="16"/>
      <c r="UR165" s="16"/>
      <c r="US165" s="16"/>
      <c r="UT165" s="16"/>
      <c r="UU165" s="16"/>
      <c r="UV165" s="16"/>
      <c r="UW165" s="16"/>
      <c r="UX165" s="16"/>
      <c r="UY165" s="16"/>
      <c r="UZ165" s="16"/>
      <c r="VA165" s="16"/>
      <c r="VB165" s="16"/>
      <c r="VC165" s="16"/>
      <c r="VD165" s="16"/>
      <c r="VE165" s="16"/>
      <c r="VF165" s="16"/>
      <c r="VG165" s="16"/>
      <c r="VH165" s="16"/>
      <c r="VI165" s="16"/>
      <c r="VJ165" s="16"/>
      <c r="VK165" s="16"/>
      <c r="VL165" s="16"/>
      <c r="VM165" s="16"/>
      <c r="VN165" s="16"/>
      <c r="VO165" s="16"/>
      <c r="VP165" s="16"/>
      <c r="VQ165" s="16"/>
      <c r="VR165" s="16"/>
      <c r="VS165" s="16"/>
      <c r="VT165" s="16"/>
      <c r="VU165" s="16"/>
      <c r="VV165" s="16"/>
      <c r="VW165" s="16"/>
      <c r="VX165" s="16"/>
      <c r="VY165" s="16"/>
      <c r="VZ165" s="16"/>
      <c r="WA165" s="16"/>
      <c r="WB165" s="16"/>
      <c r="WC165" s="16"/>
      <c r="WD165" s="16"/>
      <c r="WE165" s="16"/>
      <c r="WF165" s="16"/>
      <c r="WG165" s="16"/>
      <c r="WH165" s="16"/>
      <c r="WI165" s="16"/>
      <c r="WJ165" s="16"/>
      <c r="WK165" s="16"/>
      <c r="WL165" s="16"/>
      <c r="WM165" s="16"/>
      <c r="WN165" s="16"/>
      <c r="WO165" s="16"/>
      <c r="WP165" s="16"/>
      <c r="WQ165" s="16"/>
      <c r="WR165" s="16"/>
      <c r="WS165" s="16"/>
      <c r="WT165" s="16"/>
      <c r="WU165" s="16"/>
      <c r="WV165" s="16"/>
      <c r="WW165" s="16"/>
      <c r="WX165" s="16"/>
      <c r="WY165" s="16"/>
      <c r="WZ165" s="16"/>
      <c r="XA165" s="16"/>
      <c r="XB165" s="16"/>
      <c r="XC165" s="16"/>
      <c r="XD165" s="16"/>
      <c r="XE165" s="16"/>
      <c r="XF165" s="16"/>
      <c r="XG165" s="16"/>
      <c r="XH165" s="16"/>
      <c r="XI165" s="16"/>
      <c r="XJ165" s="16"/>
      <c r="XK165" s="16"/>
      <c r="XL165" s="16"/>
      <c r="XM165" s="16"/>
      <c r="XN165" s="16"/>
      <c r="XO165" s="16"/>
      <c r="XP165" s="16"/>
      <c r="XQ165" s="16"/>
      <c r="XR165" s="16"/>
      <c r="XS165" s="16"/>
      <c r="XT165" s="16"/>
      <c r="XU165" s="16"/>
      <c r="XV165" s="16"/>
      <c r="XW165" s="16"/>
      <c r="XX165" s="16"/>
      <c r="XY165" s="16"/>
      <c r="XZ165" s="16"/>
      <c r="YA165" s="16"/>
      <c r="YB165" s="16"/>
      <c r="YC165" s="16"/>
      <c r="YD165" s="16"/>
      <c r="YE165" s="16"/>
      <c r="YF165" s="16"/>
      <c r="YG165" s="16"/>
      <c r="YH165" s="16"/>
      <c r="YI165" s="16"/>
      <c r="YJ165" s="16"/>
      <c r="YK165" s="16"/>
      <c r="YL165" s="16"/>
      <c r="YM165" s="16"/>
      <c r="YN165" s="16"/>
      <c r="YO165" s="16"/>
      <c r="YP165" s="16"/>
      <c r="YQ165" s="16"/>
      <c r="YR165" s="16"/>
      <c r="YS165" s="16"/>
      <c r="YT165" s="16"/>
      <c r="YU165" s="16"/>
      <c r="YV165" s="16"/>
      <c r="YW165" s="16"/>
      <c r="YX165" s="16"/>
      <c r="YY165" s="16"/>
      <c r="YZ165" s="16"/>
      <c r="ZA165" s="16"/>
      <c r="ZB165" s="16"/>
      <c r="ZC165" s="16"/>
      <c r="ZD165" s="16"/>
      <c r="ZE165" s="16"/>
      <c r="ZF165" s="16"/>
      <c r="ZG165" s="16"/>
      <c r="ZH165" s="16"/>
      <c r="ZI165" s="16"/>
      <c r="ZJ165" s="16"/>
      <c r="ZK165" s="16"/>
      <c r="ZL165" s="16"/>
      <c r="ZM165" s="16"/>
      <c r="ZN165" s="16"/>
      <c r="ZO165" s="16"/>
      <c r="ZP165" s="16"/>
      <c r="ZQ165" s="16"/>
      <c r="ZR165" s="16"/>
      <c r="ZS165" s="16"/>
      <c r="ZT165" s="16"/>
      <c r="ZU165" s="16"/>
      <c r="ZV165" s="16"/>
      <c r="ZW165" s="16"/>
      <c r="ZX165" s="16"/>
      <c r="ZY165" s="16"/>
      <c r="ZZ165" s="16"/>
      <c r="AAA165" s="16"/>
      <c r="AAB165" s="16"/>
      <c r="AAC165" s="16"/>
      <c r="AAD165" s="16"/>
      <c r="AAE165" s="16"/>
      <c r="AAF165" s="16"/>
      <c r="AAG165" s="16"/>
      <c r="AAH165" s="16"/>
      <c r="AAI165" s="16"/>
      <c r="AAJ165" s="16"/>
      <c r="AAK165" s="16"/>
      <c r="AAL165" s="16"/>
      <c r="AAM165" s="16"/>
      <c r="AAN165" s="16"/>
      <c r="AAO165" s="16"/>
      <c r="AAP165" s="16"/>
      <c r="AAQ165" s="16"/>
      <c r="AAR165" s="16"/>
      <c r="AAS165" s="16"/>
      <c r="AAT165" s="16"/>
      <c r="AAU165" s="16"/>
      <c r="AAV165" s="16"/>
      <c r="AAW165" s="16"/>
      <c r="AAX165" s="16"/>
      <c r="AAY165" s="16"/>
      <c r="AAZ165" s="16"/>
      <c r="ABA165" s="16"/>
      <c r="ABB165" s="16"/>
      <c r="ABC165" s="16"/>
      <c r="ABD165" s="16"/>
      <c r="ABE165" s="16"/>
      <c r="ABF165" s="16"/>
      <c r="ABG165" s="16"/>
      <c r="ABH165" s="16"/>
      <c r="ABI165" s="16"/>
      <c r="ABJ165" s="16"/>
      <c r="ABK165" s="16"/>
      <c r="ABL165" s="16"/>
      <c r="ABM165" s="16"/>
      <c r="ABN165" s="16"/>
      <c r="ABO165" s="16"/>
      <c r="ABP165" s="16"/>
      <c r="ABQ165" s="16"/>
      <c r="ABR165" s="16"/>
      <c r="ABS165" s="16"/>
      <c r="ABT165" s="16"/>
      <c r="ABU165" s="16"/>
      <c r="ABV165" s="16"/>
      <c r="ABW165" s="16"/>
      <c r="ABX165" s="16"/>
      <c r="ABY165" s="16"/>
      <c r="ABZ165" s="16"/>
      <c r="ACA165" s="16"/>
      <c r="ACB165" s="16"/>
      <c r="ACC165" s="16"/>
      <c r="ACD165" s="16"/>
      <c r="ACE165" s="16"/>
      <c r="ACF165" s="16"/>
      <c r="ACG165" s="16"/>
      <c r="ACH165" s="16"/>
      <c r="ACI165" s="16"/>
      <c r="ACJ165" s="16"/>
      <c r="ACK165" s="16"/>
      <c r="ACL165" s="16"/>
      <c r="ACM165" s="16"/>
      <c r="ACN165" s="16"/>
      <c r="ACO165" s="16"/>
      <c r="ACP165" s="16"/>
      <c r="ACQ165" s="16"/>
      <c r="ACR165" s="16"/>
      <c r="ACS165" s="16"/>
      <c r="ACT165" s="16"/>
      <c r="ACU165" s="16"/>
      <c r="ACV165" s="16"/>
      <c r="ACW165" s="16"/>
      <c r="ACX165" s="16"/>
      <c r="ACY165" s="16"/>
      <c r="ACZ165" s="16"/>
      <c r="ADA165" s="16"/>
      <c r="ADB165" s="16"/>
      <c r="ADC165" s="16"/>
      <c r="ADD165" s="16"/>
      <c r="ADE165" s="16"/>
      <c r="ADF165" s="16"/>
      <c r="ADG165" s="16"/>
      <c r="ADH165" s="16"/>
      <c r="ADI165" s="16"/>
      <c r="ADJ165" s="16"/>
      <c r="ADK165" s="16"/>
      <c r="ADL165" s="16"/>
      <c r="ADM165" s="16"/>
      <c r="ADN165" s="16"/>
      <c r="ADO165" s="16"/>
      <c r="ADP165" s="16"/>
      <c r="ADQ165" s="16"/>
      <c r="ADR165" s="16"/>
      <c r="ADS165" s="16"/>
      <c r="ADT165" s="16"/>
      <c r="ADU165" s="16"/>
      <c r="ADV165" s="16"/>
      <c r="ADW165" s="16"/>
      <c r="ADX165" s="16"/>
      <c r="ADY165" s="16"/>
      <c r="ADZ165" s="16"/>
      <c r="AEA165" s="16"/>
      <c r="AEB165" s="16"/>
      <c r="AEC165" s="16"/>
      <c r="AED165" s="16"/>
      <c r="AEE165" s="16"/>
      <c r="AEF165" s="16"/>
      <c r="AEG165" s="16"/>
      <c r="AEH165" s="16"/>
      <c r="AEI165" s="16"/>
      <c r="AEJ165" s="16"/>
      <c r="AEK165" s="16"/>
      <c r="AEL165" s="16"/>
      <c r="AEM165" s="16"/>
      <c r="AEN165" s="16"/>
      <c r="AEO165" s="16"/>
      <c r="AEP165" s="16"/>
      <c r="AEQ165" s="16"/>
      <c r="AER165" s="16"/>
      <c r="AES165" s="16"/>
      <c r="AET165" s="16"/>
      <c r="AEU165" s="16"/>
      <c r="AEV165" s="16"/>
      <c r="AEW165" s="16"/>
      <c r="AEX165" s="16"/>
      <c r="AEY165" s="16"/>
      <c r="AEZ165" s="16"/>
      <c r="AFA165" s="16"/>
      <c r="AFB165" s="16"/>
      <c r="AFC165" s="16"/>
      <c r="AFD165" s="16"/>
      <c r="AFE165" s="16"/>
      <c r="AFF165" s="16"/>
      <c r="AFG165" s="16"/>
      <c r="AFH165" s="16"/>
      <c r="AFI165" s="16"/>
      <c r="AFJ165" s="16"/>
      <c r="AFK165" s="16"/>
      <c r="AFL165" s="16"/>
      <c r="AFM165" s="16"/>
      <c r="AFN165" s="16"/>
      <c r="AFO165" s="16"/>
      <c r="AFP165" s="16"/>
      <c r="AFQ165" s="16"/>
      <c r="AFR165" s="16"/>
      <c r="AFS165" s="16"/>
      <c r="AFT165" s="16"/>
      <c r="AFU165" s="16"/>
      <c r="AFV165" s="16"/>
      <c r="AFW165" s="16"/>
      <c r="AFX165" s="16"/>
      <c r="AFY165" s="16"/>
      <c r="AFZ165" s="16"/>
      <c r="AGA165" s="16"/>
      <c r="AGB165" s="16"/>
      <c r="AGC165" s="16"/>
      <c r="AGD165" s="16"/>
      <c r="AGE165" s="16"/>
      <c r="AGF165" s="16"/>
      <c r="AGG165" s="16"/>
      <c r="AGH165" s="16"/>
      <c r="AGI165" s="16"/>
      <c r="AGJ165" s="16"/>
      <c r="AGK165" s="16"/>
      <c r="AGL165" s="16"/>
      <c r="AGM165" s="16"/>
      <c r="AGN165" s="16"/>
      <c r="AGO165" s="16"/>
      <c r="AGP165" s="16"/>
      <c r="AGQ165" s="16"/>
      <c r="AGR165" s="16"/>
      <c r="AGS165" s="16"/>
      <c r="AGT165" s="16"/>
      <c r="AGU165" s="16"/>
      <c r="AGV165" s="16"/>
      <c r="AGW165" s="16"/>
      <c r="AGX165" s="16"/>
      <c r="AGY165" s="16"/>
      <c r="AGZ165" s="16"/>
      <c r="AHA165" s="16"/>
      <c r="AHB165" s="16"/>
      <c r="AHC165" s="16"/>
      <c r="AHD165" s="16"/>
      <c r="AHE165" s="16"/>
      <c r="AHF165" s="16"/>
      <c r="AHG165" s="16"/>
      <c r="AHH165" s="16"/>
      <c r="AHI165" s="16"/>
      <c r="AHJ165" s="16"/>
      <c r="AHK165" s="16"/>
      <c r="AHL165" s="16"/>
      <c r="AHM165" s="16"/>
      <c r="AHN165" s="16"/>
      <c r="AHO165" s="16"/>
      <c r="AHP165" s="16"/>
      <c r="AHQ165" s="16"/>
      <c r="AHR165" s="16"/>
      <c r="AHS165" s="16"/>
      <c r="AHT165" s="16"/>
      <c r="AHU165" s="16"/>
      <c r="AHV165" s="16"/>
      <c r="AHW165" s="16"/>
      <c r="AHX165" s="16"/>
      <c r="AHY165" s="16"/>
      <c r="AHZ165" s="16"/>
      <c r="AIA165" s="16"/>
      <c r="AIB165" s="16"/>
      <c r="AIC165" s="16"/>
      <c r="AID165" s="16"/>
      <c r="AIE165" s="16"/>
      <c r="AIF165" s="16"/>
      <c r="AIG165" s="16"/>
      <c r="AIH165" s="16"/>
      <c r="AII165" s="16"/>
      <c r="AIJ165" s="16"/>
      <c r="AIK165" s="16"/>
      <c r="AIL165" s="16"/>
      <c r="AIM165" s="16"/>
      <c r="AIN165" s="16"/>
      <c r="AIO165" s="16"/>
      <c r="AIP165" s="16"/>
      <c r="AIQ165" s="16"/>
      <c r="AIR165" s="16"/>
      <c r="AIS165" s="16"/>
      <c r="AIT165" s="16"/>
      <c r="AIU165" s="16"/>
      <c r="AIV165" s="16"/>
      <c r="AIW165" s="16"/>
      <c r="AIX165" s="16"/>
      <c r="AIY165" s="16"/>
      <c r="AIZ165" s="16"/>
      <c r="AJA165" s="16"/>
      <c r="AJB165" s="16"/>
      <c r="AJC165" s="16"/>
      <c r="AJD165" s="16"/>
      <c r="AJE165" s="16"/>
      <c r="AJF165" s="16"/>
      <c r="AJG165" s="16"/>
      <c r="AJH165" s="16"/>
      <c r="AJI165" s="16"/>
      <c r="AJJ165" s="16"/>
      <c r="AJK165" s="16"/>
      <c r="AJL165" s="16"/>
      <c r="AJM165" s="16"/>
      <c r="AJN165" s="16"/>
      <c r="AJO165" s="16"/>
      <c r="AJP165" s="16"/>
      <c r="AJQ165" s="16"/>
      <c r="AJR165" s="16"/>
      <c r="AJS165" s="16"/>
      <c r="AJT165" s="16"/>
      <c r="AJU165" s="16"/>
      <c r="AJV165" s="16"/>
      <c r="AJW165" s="16"/>
      <c r="AJX165" s="16"/>
      <c r="AJY165" s="16"/>
      <c r="AJZ165" s="16"/>
      <c r="AKA165" s="16"/>
      <c r="AKB165" s="16"/>
      <c r="AKC165" s="16"/>
      <c r="AKD165" s="16"/>
      <c r="AKE165" s="16"/>
      <c r="AKF165" s="16"/>
      <c r="AKG165" s="16"/>
      <c r="AKH165" s="16"/>
      <c r="AKI165" s="16"/>
      <c r="AKJ165" s="16"/>
      <c r="AKK165" s="16"/>
      <c r="AKL165" s="16"/>
      <c r="AKM165" s="16"/>
      <c r="AKN165" s="16"/>
      <c r="AKO165" s="16"/>
      <c r="AKP165" s="16"/>
      <c r="AKQ165" s="16"/>
      <c r="AKR165" s="16"/>
      <c r="AKS165" s="16"/>
      <c r="AKT165" s="16"/>
      <c r="AKU165" s="16"/>
      <c r="AKV165" s="16"/>
      <c r="AKW165" s="16"/>
      <c r="AKX165" s="16"/>
      <c r="AKY165" s="16"/>
      <c r="AKZ165" s="16"/>
      <c r="ALA165" s="16"/>
      <c r="ALB165" s="16"/>
      <c r="ALC165" s="16"/>
      <c r="ALD165" s="16"/>
      <c r="ALE165" s="16"/>
      <c r="ALF165" s="16"/>
      <c r="ALG165" s="16"/>
      <c r="ALH165" s="16"/>
      <c r="ALI165" s="16"/>
      <c r="ALJ165" s="16"/>
      <c r="ALK165" s="16"/>
      <c r="ALL165" s="16"/>
      <c r="ALM165" s="16"/>
      <c r="ALN165" s="16"/>
      <c r="ALO165" s="16"/>
      <c r="ALP165" s="16"/>
      <c r="ALQ165" s="16"/>
      <c r="ALR165" s="16"/>
      <c r="ALS165" s="16"/>
      <c r="ALT165" s="16"/>
      <c r="ALU165" s="16"/>
      <c r="ALV165" s="16"/>
      <c r="ALW165" s="16"/>
      <c r="ALX165" s="16"/>
      <c r="ALY165" s="16"/>
      <c r="ALZ165" s="16"/>
      <c r="AMA165" s="16"/>
      <c r="AMB165" s="16"/>
      <c r="AMC165" s="16"/>
      <c r="AMD165" s="16"/>
      <c r="AME165" s="16"/>
      <c r="AMF165" s="16"/>
      <c r="AMG165" s="16"/>
      <c r="AMH165" s="16"/>
      <c r="AMI165" s="16"/>
      <c r="AMJ165" s="16"/>
      <c r="AMK165" s="16"/>
      <c r="AML165" s="16"/>
      <c r="AMM165" s="16"/>
      <c r="AMN165" s="16"/>
      <c r="AMO165" s="16"/>
      <c r="AMP165" s="16"/>
      <c r="AMQ165" s="16"/>
      <c r="AMR165" s="16"/>
      <c r="AMS165" s="16"/>
      <c r="AMT165" s="16"/>
      <c r="AMU165" s="16"/>
      <c r="AMV165" s="16"/>
      <c r="AMW165" s="16"/>
      <c r="AMX165" s="16"/>
      <c r="AMY165" s="16"/>
      <c r="AMZ165" s="16"/>
      <c r="ANA165" s="16"/>
      <c r="ANB165" s="16"/>
      <c r="ANC165" s="16"/>
      <c r="AND165" s="16"/>
      <c r="ANE165" s="16"/>
      <c r="ANF165" s="16"/>
      <c r="ANG165" s="16"/>
      <c r="ANH165" s="16"/>
      <c r="ANI165" s="16"/>
      <c r="ANJ165" s="16"/>
      <c r="ANK165" s="16"/>
      <c r="ANL165" s="16"/>
      <c r="ANM165" s="16"/>
      <c r="ANN165" s="16"/>
      <c r="ANO165" s="16"/>
      <c r="ANP165" s="16"/>
      <c r="ANQ165" s="16"/>
      <c r="ANR165" s="16"/>
      <c r="ANS165" s="16"/>
      <c r="ANT165" s="16"/>
      <c r="ANU165" s="16"/>
      <c r="ANV165" s="16"/>
      <c r="ANW165" s="16"/>
      <c r="ANX165" s="16"/>
      <c r="ANY165" s="16"/>
      <c r="ANZ165" s="16"/>
      <c r="AOA165" s="16"/>
      <c r="AOB165" s="16"/>
      <c r="AOC165" s="16"/>
      <c r="AOD165" s="16"/>
      <c r="AOE165" s="16"/>
      <c r="AOF165" s="16"/>
      <c r="AOG165" s="16"/>
      <c r="AOH165" s="16"/>
      <c r="AOI165" s="16"/>
      <c r="AOJ165" s="16"/>
      <c r="AOK165" s="16"/>
      <c r="AOL165" s="16"/>
      <c r="AOM165" s="16"/>
      <c r="AON165" s="16"/>
      <c r="AOO165" s="16"/>
      <c r="AOP165" s="16"/>
      <c r="AOQ165" s="16"/>
      <c r="AOR165" s="16"/>
      <c r="AOS165" s="16"/>
      <c r="AOT165" s="16"/>
      <c r="AOU165" s="16"/>
      <c r="AOV165" s="16"/>
      <c r="AOW165" s="16"/>
      <c r="AOX165" s="16"/>
      <c r="AOY165" s="16"/>
      <c r="AOZ165" s="16"/>
      <c r="APA165" s="16"/>
      <c r="APB165" s="16"/>
      <c r="APC165" s="16"/>
      <c r="APD165" s="16"/>
      <c r="APE165" s="16"/>
      <c r="APF165" s="16"/>
      <c r="APG165" s="16"/>
      <c r="APH165" s="16"/>
      <c r="API165" s="16"/>
      <c r="APJ165" s="16"/>
      <c r="APK165" s="16"/>
      <c r="APL165" s="16"/>
      <c r="APM165" s="16"/>
      <c r="APN165" s="16"/>
      <c r="APO165" s="16"/>
      <c r="APP165" s="16"/>
      <c r="APQ165" s="16"/>
      <c r="APR165" s="16"/>
      <c r="APS165" s="16"/>
      <c r="APT165" s="16"/>
      <c r="APU165" s="16"/>
      <c r="APV165" s="16"/>
      <c r="APW165" s="16"/>
      <c r="APX165" s="16"/>
      <c r="APY165" s="16"/>
      <c r="APZ165" s="16"/>
      <c r="AQA165" s="16"/>
      <c r="AQB165" s="16"/>
      <c r="AQC165" s="16"/>
      <c r="AQD165" s="16"/>
      <c r="AQE165" s="16"/>
      <c r="AQF165" s="16"/>
      <c r="AQG165" s="16"/>
      <c r="AQH165" s="16"/>
      <c r="AQI165" s="16"/>
      <c r="AQJ165" s="16"/>
      <c r="AQK165" s="16"/>
      <c r="AQL165" s="16"/>
      <c r="AQM165" s="16"/>
      <c r="AQN165" s="16"/>
      <c r="AQO165" s="16"/>
      <c r="AQP165" s="16"/>
      <c r="AQQ165" s="16"/>
      <c r="AQR165" s="16"/>
      <c r="AQS165" s="16"/>
      <c r="AQT165" s="16"/>
      <c r="AQU165" s="16"/>
      <c r="AQV165" s="16"/>
      <c r="AQW165" s="16"/>
      <c r="AQX165" s="16"/>
      <c r="AQY165" s="16"/>
      <c r="AQZ165" s="16"/>
      <c r="ARA165" s="16"/>
      <c r="ARB165" s="16"/>
      <c r="ARC165" s="16"/>
      <c r="ARD165" s="16"/>
      <c r="ARE165" s="16"/>
      <c r="ARF165" s="16"/>
      <c r="ARG165" s="16"/>
      <c r="ARH165" s="16"/>
      <c r="ARI165" s="16"/>
      <c r="ARJ165" s="16"/>
      <c r="ARK165" s="16"/>
      <c r="ARL165" s="16"/>
      <c r="ARM165" s="16"/>
      <c r="ARN165" s="16"/>
      <c r="ARO165" s="16"/>
      <c r="ARP165" s="16"/>
      <c r="ARQ165" s="16"/>
      <c r="ARR165" s="16"/>
      <c r="ARS165" s="16"/>
      <c r="ART165" s="16"/>
      <c r="ARU165" s="16"/>
      <c r="ARV165" s="16"/>
      <c r="ARW165" s="16"/>
      <c r="ARX165" s="16"/>
      <c r="ARY165" s="16"/>
      <c r="ARZ165" s="16"/>
      <c r="ASA165" s="16"/>
      <c r="ASB165" s="16"/>
      <c r="ASC165" s="16"/>
      <c r="ASD165" s="16"/>
      <c r="ASE165" s="16"/>
      <c r="ASF165" s="16"/>
      <c r="ASG165" s="16"/>
      <c r="ASH165" s="16"/>
      <c r="ASI165" s="16"/>
      <c r="ASJ165" s="16"/>
      <c r="ASK165" s="16"/>
      <c r="ASL165" s="16"/>
      <c r="ASM165" s="16"/>
      <c r="ASN165" s="16"/>
      <c r="ASO165" s="16"/>
      <c r="ASP165" s="16"/>
      <c r="ASQ165" s="16"/>
      <c r="ASR165" s="16"/>
      <c r="ASS165" s="16"/>
      <c r="AST165" s="16"/>
      <c r="ASU165" s="16"/>
      <c r="ASV165" s="16"/>
      <c r="ASW165" s="16"/>
      <c r="ASX165" s="16"/>
      <c r="ASY165" s="16"/>
      <c r="ASZ165" s="16"/>
      <c r="ATA165" s="16"/>
      <c r="ATB165" s="16"/>
      <c r="ATC165" s="16"/>
      <c r="ATD165" s="16"/>
      <c r="ATE165" s="16"/>
      <c r="ATF165" s="16"/>
      <c r="ATG165" s="16"/>
      <c r="ATH165" s="16"/>
      <c r="ATI165" s="16"/>
      <c r="ATJ165" s="16"/>
      <c r="ATK165" s="16"/>
      <c r="ATL165" s="16"/>
      <c r="ATM165" s="16"/>
      <c r="ATN165" s="16"/>
      <c r="ATO165" s="16"/>
      <c r="ATP165" s="16"/>
      <c r="ATQ165" s="16"/>
      <c r="ATR165" s="16"/>
      <c r="ATS165" s="16"/>
      <c r="ATT165" s="16"/>
      <c r="ATU165" s="16"/>
      <c r="ATV165" s="16"/>
      <c r="ATW165" s="16"/>
      <c r="ATX165" s="16"/>
      <c r="ATY165" s="16"/>
      <c r="ATZ165" s="16"/>
      <c r="AUA165" s="16"/>
      <c r="AUB165" s="16"/>
      <c r="AUC165" s="16"/>
      <c r="AUD165" s="16"/>
      <c r="AUE165" s="16"/>
      <c r="AUF165" s="16"/>
      <c r="AUG165" s="16"/>
      <c r="AUH165" s="16"/>
      <c r="AUI165" s="16"/>
      <c r="AUJ165" s="16"/>
      <c r="AUK165" s="16"/>
      <c r="AUL165" s="16"/>
      <c r="AUM165" s="16"/>
      <c r="AUN165" s="16"/>
      <c r="AUO165" s="16"/>
      <c r="AUP165" s="16"/>
      <c r="AUQ165" s="16"/>
      <c r="AUR165" s="16"/>
      <c r="AUS165" s="16"/>
      <c r="AUT165" s="16"/>
      <c r="AUU165" s="16"/>
      <c r="AUV165" s="16"/>
      <c r="AUW165" s="16"/>
      <c r="AUX165" s="16"/>
      <c r="AUY165" s="16"/>
      <c r="AUZ165" s="16"/>
      <c r="AVA165" s="16"/>
      <c r="AVB165" s="16"/>
      <c r="AVC165" s="16"/>
      <c r="AVD165" s="16"/>
      <c r="AVE165" s="16"/>
      <c r="AVF165" s="16"/>
      <c r="AVG165" s="16"/>
      <c r="AVH165" s="16"/>
      <c r="AVI165" s="16"/>
      <c r="AVJ165" s="16"/>
      <c r="AVK165" s="16"/>
      <c r="AVL165" s="16"/>
      <c r="AVM165" s="16"/>
      <c r="AVN165" s="16"/>
      <c r="AVO165" s="16"/>
      <c r="AVP165" s="16"/>
      <c r="AVQ165" s="16"/>
      <c r="AVR165" s="16"/>
      <c r="AVS165" s="16"/>
      <c r="AVT165" s="16"/>
      <c r="AVU165" s="16"/>
      <c r="AVV165" s="16"/>
      <c r="AVW165" s="16"/>
      <c r="AVX165" s="16"/>
      <c r="AVY165" s="16"/>
      <c r="AVZ165" s="16"/>
      <c r="AWA165" s="16"/>
      <c r="AWB165" s="16"/>
      <c r="AWC165" s="16"/>
      <c r="AWD165" s="16"/>
      <c r="AWE165" s="16"/>
      <c r="AWF165" s="16"/>
      <c r="AWG165" s="16"/>
      <c r="AWH165" s="16"/>
      <c r="AWI165" s="16"/>
      <c r="AWJ165" s="16"/>
      <c r="AWK165" s="16"/>
      <c r="AWL165" s="16"/>
      <c r="AWM165" s="16"/>
      <c r="AWN165" s="16"/>
      <c r="AWO165" s="16"/>
      <c r="AWP165" s="16"/>
      <c r="AWQ165" s="16"/>
      <c r="AWR165" s="16"/>
      <c r="AWS165" s="16"/>
      <c r="AWT165" s="16"/>
      <c r="AWU165" s="16"/>
      <c r="AWV165" s="16"/>
      <c r="AWW165" s="16"/>
      <c r="AWX165" s="16"/>
      <c r="AWY165" s="16"/>
      <c r="AWZ165" s="16"/>
      <c r="AXA165" s="16"/>
      <c r="AXB165" s="16"/>
      <c r="AXC165" s="16"/>
      <c r="AXD165" s="16"/>
      <c r="AXE165" s="16"/>
      <c r="AXF165" s="16"/>
      <c r="AXG165" s="16"/>
      <c r="AXH165" s="16"/>
      <c r="AXI165" s="16"/>
      <c r="AXJ165" s="16"/>
      <c r="AXK165" s="16"/>
      <c r="AXL165" s="16"/>
      <c r="AXM165" s="16"/>
      <c r="AXN165" s="16"/>
      <c r="AXO165" s="16"/>
      <c r="AXP165" s="16"/>
      <c r="AXQ165" s="16"/>
      <c r="AXR165" s="16"/>
      <c r="AXS165" s="16"/>
      <c r="AXT165" s="16"/>
      <c r="AXU165" s="16"/>
      <c r="AXV165" s="16"/>
      <c r="AXW165" s="16"/>
      <c r="AXX165" s="16"/>
      <c r="AXY165" s="16"/>
      <c r="AXZ165" s="16"/>
      <c r="AYA165" s="16"/>
      <c r="AYB165" s="16"/>
      <c r="AYC165" s="16"/>
      <c r="AYD165" s="16"/>
      <c r="AYE165" s="16"/>
      <c r="AYF165" s="16"/>
      <c r="AYG165" s="16"/>
      <c r="AYH165" s="16"/>
      <c r="AYI165" s="16"/>
      <c r="AYJ165" s="16"/>
      <c r="AYK165" s="16"/>
      <c r="AYL165" s="16"/>
      <c r="AYM165" s="16"/>
      <c r="AYN165" s="16"/>
      <c r="AYO165" s="16"/>
      <c r="AYP165" s="16"/>
      <c r="AYQ165" s="16"/>
      <c r="AYR165" s="16"/>
      <c r="AYS165" s="16"/>
      <c r="AYT165" s="16"/>
      <c r="AYU165" s="16"/>
      <c r="AYV165" s="16"/>
      <c r="AYW165" s="16"/>
      <c r="AYX165" s="16"/>
      <c r="AYY165" s="16"/>
      <c r="AYZ165" s="16"/>
      <c r="AZA165" s="16"/>
      <c r="AZB165" s="16"/>
      <c r="AZC165" s="16"/>
      <c r="AZD165" s="16"/>
      <c r="AZE165" s="16"/>
      <c r="AZF165" s="16"/>
      <c r="AZG165" s="16"/>
      <c r="AZH165" s="16"/>
      <c r="AZI165" s="16"/>
      <c r="AZJ165" s="16"/>
      <c r="AZK165" s="16"/>
      <c r="AZL165" s="16"/>
      <c r="AZM165" s="16"/>
      <c r="AZN165" s="16"/>
      <c r="AZO165" s="16"/>
      <c r="AZP165" s="16"/>
      <c r="AZQ165" s="16"/>
      <c r="AZR165" s="16"/>
      <c r="AZS165" s="16"/>
      <c r="AZT165" s="16"/>
      <c r="AZU165" s="16"/>
      <c r="AZV165" s="16"/>
      <c r="AZW165" s="16"/>
      <c r="AZX165" s="16"/>
      <c r="AZY165" s="16"/>
      <c r="AZZ165" s="16"/>
      <c r="BAA165" s="16"/>
      <c r="BAB165" s="16"/>
      <c r="BAC165" s="16"/>
      <c r="BAD165" s="16"/>
      <c r="BAE165" s="16"/>
      <c r="BAF165" s="16"/>
      <c r="BAG165" s="16"/>
      <c r="BAH165" s="16"/>
      <c r="BAI165" s="16"/>
      <c r="BAJ165" s="16"/>
      <c r="BAK165" s="16"/>
      <c r="BAL165" s="16"/>
      <c r="BAM165" s="16"/>
      <c r="BAN165" s="16"/>
      <c r="BAO165" s="16"/>
      <c r="BAP165" s="16"/>
      <c r="BAQ165" s="16"/>
      <c r="BAR165" s="16"/>
      <c r="BAS165" s="16"/>
      <c r="BAT165" s="16"/>
      <c r="BAU165" s="16"/>
      <c r="BAV165" s="16"/>
      <c r="BAW165" s="16"/>
      <c r="BAX165" s="16"/>
      <c r="BAY165" s="16"/>
      <c r="BAZ165" s="16"/>
      <c r="BBA165" s="16"/>
      <c r="BBB165" s="16"/>
      <c r="BBC165" s="16"/>
      <c r="BBD165" s="16"/>
      <c r="BBE165" s="16"/>
      <c r="BBF165" s="16"/>
      <c r="BBG165" s="16"/>
      <c r="BBH165" s="16"/>
      <c r="BBI165" s="16"/>
      <c r="BBJ165" s="16"/>
      <c r="BBK165" s="16"/>
      <c r="BBL165" s="16"/>
      <c r="BBM165" s="16"/>
      <c r="BBN165" s="16"/>
      <c r="BBO165" s="16"/>
      <c r="BBP165" s="16"/>
      <c r="BBQ165" s="16"/>
      <c r="BBR165" s="16"/>
      <c r="BBS165" s="16"/>
      <c r="BBT165" s="16"/>
      <c r="BBU165" s="16"/>
      <c r="BBV165" s="16"/>
      <c r="BBW165" s="16"/>
      <c r="BBX165" s="16"/>
      <c r="BBY165" s="16"/>
      <c r="BBZ165" s="16"/>
      <c r="BCA165" s="16"/>
      <c r="BCB165" s="16"/>
      <c r="BCC165" s="16"/>
      <c r="BCD165" s="16"/>
      <c r="BCE165" s="16"/>
      <c r="BCF165" s="16"/>
      <c r="BCG165" s="16"/>
      <c r="BCH165" s="16"/>
      <c r="BCI165" s="16"/>
      <c r="BCJ165" s="16"/>
      <c r="BCK165" s="16"/>
      <c r="BCL165" s="16"/>
      <c r="BCM165" s="16"/>
      <c r="BCN165" s="16"/>
      <c r="BCO165" s="16"/>
      <c r="BCP165" s="16"/>
      <c r="BCQ165" s="16"/>
      <c r="BCR165" s="16"/>
      <c r="BCS165" s="16"/>
      <c r="BCT165" s="16"/>
      <c r="BCU165" s="16"/>
      <c r="BCV165" s="16"/>
      <c r="BCW165" s="16"/>
      <c r="BCX165" s="16"/>
      <c r="BCY165" s="16"/>
      <c r="BCZ165" s="16"/>
      <c r="BDA165" s="16"/>
      <c r="BDB165" s="16"/>
      <c r="BDC165" s="16"/>
      <c r="BDD165" s="16"/>
      <c r="BDE165" s="16"/>
      <c r="BDF165" s="16"/>
      <c r="BDG165" s="16"/>
      <c r="BDH165" s="16"/>
      <c r="BDI165" s="16"/>
      <c r="BDJ165" s="16"/>
      <c r="BDK165" s="16"/>
      <c r="BDL165" s="16"/>
      <c r="BDM165" s="16"/>
      <c r="BDN165" s="16"/>
      <c r="BDO165" s="16"/>
      <c r="BDP165" s="16"/>
      <c r="BDQ165" s="16"/>
      <c r="BDR165" s="16"/>
      <c r="BDS165" s="16"/>
      <c r="BDT165" s="16"/>
      <c r="BDU165" s="16"/>
      <c r="BDV165" s="16"/>
      <c r="BDW165" s="16"/>
      <c r="BDX165" s="16"/>
      <c r="BDY165" s="16"/>
      <c r="BDZ165" s="16"/>
      <c r="BEA165" s="16"/>
      <c r="BEB165" s="16"/>
      <c r="BEC165" s="16"/>
      <c r="BED165" s="16"/>
      <c r="BEE165" s="16"/>
      <c r="BEF165" s="16"/>
      <c r="BEG165" s="16"/>
      <c r="BEH165" s="16"/>
      <c r="BEI165" s="16"/>
      <c r="BEJ165" s="16"/>
      <c r="BEK165" s="16"/>
      <c r="BEL165" s="16"/>
      <c r="BEM165" s="16"/>
      <c r="BEN165" s="16"/>
      <c r="BEO165" s="16"/>
      <c r="BEP165" s="16"/>
      <c r="BEQ165" s="16"/>
      <c r="BER165" s="16"/>
      <c r="BES165" s="16"/>
      <c r="BET165" s="16"/>
      <c r="BEU165" s="16"/>
      <c r="BEV165" s="16"/>
      <c r="BEW165" s="16"/>
      <c r="BEX165" s="16"/>
      <c r="BEY165" s="16"/>
      <c r="BEZ165" s="16"/>
      <c r="BFA165" s="16"/>
      <c r="BFB165" s="16"/>
      <c r="BFC165" s="16"/>
      <c r="BFD165" s="16"/>
      <c r="BFE165" s="16"/>
      <c r="BFF165" s="16"/>
      <c r="BFG165" s="16"/>
      <c r="BFH165" s="16"/>
      <c r="BFI165" s="16"/>
      <c r="BFJ165" s="16"/>
      <c r="BFK165" s="16"/>
      <c r="BFL165" s="16"/>
      <c r="BFM165" s="16"/>
      <c r="BFN165" s="16"/>
      <c r="BFO165" s="16"/>
      <c r="BFP165" s="16"/>
      <c r="BFQ165" s="16"/>
      <c r="BFR165" s="16"/>
      <c r="BFS165" s="16"/>
      <c r="BFT165" s="16"/>
      <c r="BFU165" s="16"/>
      <c r="BFV165" s="16"/>
      <c r="BFW165" s="16"/>
      <c r="BFX165" s="16"/>
      <c r="BFY165" s="16"/>
      <c r="BFZ165" s="16"/>
      <c r="BGA165" s="16"/>
      <c r="BGB165" s="16"/>
      <c r="BGC165" s="16"/>
      <c r="BGD165" s="16"/>
      <c r="BGE165" s="16"/>
      <c r="BGF165" s="16"/>
      <c r="BGG165" s="16"/>
      <c r="BGH165" s="16"/>
      <c r="BGI165" s="16"/>
      <c r="BGJ165" s="16"/>
      <c r="BGK165" s="16"/>
      <c r="BGL165" s="16"/>
      <c r="BGM165" s="16"/>
      <c r="BGN165" s="16"/>
      <c r="BGO165" s="16"/>
      <c r="BGP165" s="16"/>
      <c r="BGQ165" s="16"/>
      <c r="BGR165" s="16"/>
      <c r="BGS165" s="16"/>
      <c r="BGT165" s="16"/>
      <c r="BGU165" s="16"/>
      <c r="BGV165" s="16"/>
      <c r="BGW165" s="16"/>
      <c r="BGX165" s="16"/>
      <c r="BGY165" s="16"/>
      <c r="BGZ165" s="16"/>
      <c r="BHA165" s="16"/>
      <c r="BHB165" s="16"/>
      <c r="BHC165" s="16"/>
      <c r="BHD165" s="16"/>
      <c r="BHE165" s="16"/>
      <c r="BHF165" s="16"/>
      <c r="BHG165" s="16"/>
      <c r="BHH165" s="16"/>
      <c r="BHI165" s="16"/>
      <c r="BHJ165" s="16"/>
      <c r="BHK165" s="16"/>
      <c r="BHL165" s="16"/>
      <c r="BHM165" s="16"/>
      <c r="BHN165" s="16"/>
      <c r="BHO165" s="16"/>
      <c r="BHP165" s="16"/>
      <c r="BHQ165" s="16"/>
      <c r="BHR165" s="16"/>
      <c r="BHS165" s="16"/>
      <c r="BHT165" s="16"/>
      <c r="BHU165" s="16"/>
      <c r="BHV165" s="16"/>
      <c r="BHW165" s="16"/>
      <c r="BHX165" s="16"/>
      <c r="BHY165" s="16"/>
      <c r="BHZ165" s="16"/>
      <c r="BIA165" s="16"/>
      <c r="BIB165" s="16"/>
      <c r="BIC165" s="16"/>
      <c r="BID165" s="16"/>
      <c r="BIE165" s="16"/>
      <c r="BIF165" s="16"/>
      <c r="BIG165" s="16"/>
      <c r="BIH165" s="16"/>
      <c r="BII165" s="16"/>
      <c r="BIJ165" s="16"/>
      <c r="BIK165" s="16"/>
      <c r="BIL165" s="16"/>
      <c r="BIM165" s="16"/>
      <c r="BIN165" s="16"/>
      <c r="BIO165" s="16"/>
      <c r="BIP165" s="16"/>
      <c r="BIQ165" s="16"/>
      <c r="BIR165" s="16"/>
      <c r="BIS165" s="16"/>
      <c r="BIT165" s="16"/>
      <c r="BIU165" s="16"/>
      <c r="BIV165" s="16"/>
      <c r="BIW165" s="16"/>
      <c r="BIX165" s="16"/>
      <c r="BIY165" s="16"/>
      <c r="BIZ165" s="16"/>
      <c r="BJA165" s="16"/>
      <c r="BJB165" s="16"/>
      <c r="BJC165" s="16"/>
      <c r="BJD165" s="16"/>
      <c r="BJE165" s="16"/>
      <c r="BJF165" s="16"/>
      <c r="BJG165" s="16"/>
      <c r="BJH165" s="16"/>
      <c r="BJI165" s="16"/>
      <c r="BJJ165" s="16"/>
      <c r="BJK165" s="16"/>
      <c r="BJL165" s="16"/>
      <c r="BJM165" s="16"/>
      <c r="BJN165" s="16"/>
      <c r="BJO165" s="16"/>
      <c r="BJP165" s="16"/>
      <c r="BJQ165" s="16"/>
      <c r="BJR165" s="16"/>
      <c r="BJS165" s="16"/>
      <c r="BJT165" s="16"/>
      <c r="BJU165" s="16"/>
      <c r="BJV165" s="16"/>
      <c r="BJW165" s="16"/>
      <c r="BJX165" s="16"/>
      <c r="BJY165" s="16"/>
      <c r="BJZ165" s="16"/>
      <c r="BKA165" s="16"/>
      <c r="BKB165" s="16"/>
      <c r="BKC165" s="16"/>
      <c r="BKD165" s="16"/>
      <c r="BKE165" s="16"/>
      <c r="BKF165" s="16"/>
      <c r="BKG165" s="16"/>
      <c r="BKH165" s="16"/>
      <c r="BKI165" s="16"/>
      <c r="BKJ165" s="16"/>
      <c r="BKK165" s="16"/>
      <c r="BKL165" s="16"/>
      <c r="BKM165" s="16"/>
      <c r="BKN165" s="16"/>
      <c r="BKO165" s="16"/>
      <c r="BKP165" s="16"/>
      <c r="BKQ165" s="16"/>
      <c r="BKR165" s="16"/>
      <c r="BKS165" s="16"/>
      <c r="BKT165" s="16"/>
      <c r="BKU165" s="16"/>
      <c r="BKV165" s="16"/>
      <c r="BKW165" s="16"/>
      <c r="BKX165" s="16"/>
      <c r="BKY165" s="16"/>
      <c r="BKZ165" s="16"/>
      <c r="BLA165" s="16"/>
      <c r="BLB165" s="16"/>
      <c r="BLC165" s="16"/>
      <c r="BLD165" s="16"/>
      <c r="BLE165" s="16"/>
      <c r="BLF165" s="16"/>
      <c r="BLG165" s="16"/>
      <c r="BLH165" s="16"/>
      <c r="BLI165" s="16"/>
      <c r="BLJ165" s="16"/>
      <c r="BLK165" s="16"/>
      <c r="BLL165" s="16"/>
      <c r="BLM165" s="16"/>
      <c r="BLN165" s="16"/>
      <c r="BLO165" s="16"/>
      <c r="BLP165" s="16"/>
      <c r="BLQ165" s="16"/>
      <c r="BLR165" s="16"/>
      <c r="BLS165" s="16"/>
      <c r="BLT165" s="16"/>
      <c r="BLU165" s="16"/>
      <c r="BLV165" s="16"/>
      <c r="BLW165" s="16"/>
      <c r="BLX165" s="16"/>
      <c r="BLY165" s="16"/>
      <c r="BLZ165" s="16"/>
      <c r="BMA165" s="16"/>
      <c r="BMB165" s="16"/>
      <c r="BMC165" s="16"/>
      <c r="BMD165" s="16"/>
      <c r="BME165" s="16"/>
      <c r="BMF165" s="16"/>
      <c r="BMG165" s="16"/>
      <c r="BMH165" s="16"/>
      <c r="BMI165" s="16"/>
      <c r="BMJ165" s="16"/>
      <c r="BMK165" s="16"/>
      <c r="BML165" s="16"/>
      <c r="BMM165" s="16"/>
      <c r="BMN165" s="16"/>
      <c r="BMO165" s="16"/>
      <c r="BMP165" s="16"/>
      <c r="BMQ165" s="16"/>
      <c r="BMR165" s="16"/>
      <c r="BMS165" s="16"/>
      <c r="BMT165" s="16"/>
      <c r="BMU165" s="16"/>
      <c r="BMV165" s="16"/>
      <c r="BMW165" s="16"/>
      <c r="BMX165" s="16"/>
      <c r="BMY165" s="16"/>
      <c r="BMZ165" s="16"/>
      <c r="BNA165" s="16"/>
      <c r="BNB165" s="16"/>
      <c r="BNC165" s="16"/>
      <c r="BND165" s="16"/>
      <c r="BNE165" s="16"/>
      <c r="BNF165" s="16"/>
      <c r="BNG165" s="16"/>
      <c r="BNH165" s="16"/>
      <c r="BNI165" s="16"/>
      <c r="BNJ165" s="16"/>
      <c r="BNK165" s="16"/>
      <c r="BNL165" s="16"/>
      <c r="BNM165" s="16"/>
      <c r="BNN165" s="16"/>
      <c r="BNO165" s="16"/>
      <c r="BNP165" s="16"/>
      <c r="BNQ165" s="16"/>
      <c r="BNR165" s="16"/>
      <c r="BNS165" s="16"/>
      <c r="BNT165" s="16"/>
      <c r="BNU165" s="16"/>
      <c r="BNV165" s="16"/>
      <c r="BNW165" s="16"/>
      <c r="BNX165" s="16"/>
      <c r="BNY165" s="16"/>
      <c r="BNZ165" s="16"/>
      <c r="BOA165" s="16"/>
      <c r="BOB165" s="16"/>
      <c r="BOC165" s="16"/>
      <c r="BOD165" s="16"/>
      <c r="BOE165" s="16"/>
      <c r="BOF165" s="16"/>
      <c r="BOG165" s="16"/>
      <c r="BOH165" s="16"/>
      <c r="BOI165" s="16"/>
      <c r="BOJ165" s="16"/>
      <c r="BOK165" s="16"/>
      <c r="BOL165" s="16"/>
      <c r="BOM165" s="16"/>
      <c r="BON165" s="16"/>
      <c r="BOO165" s="16"/>
      <c r="BOP165" s="16"/>
      <c r="BOQ165" s="16"/>
      <c r="BOR165" s="16"/>
      <c r="BOS165" s="16"/>
      <c r="BOT165" s="16"/>
      <c r="BOU165" s="16"/>
      <c r="BOV165" s="16"/>
      <c r="BOW165" s="16"/>
      <c r="BOX165" s="16"/>
      <c r="BOY165" s="16"/>
      <c r="BOZ165" s="16"/>
      <c r="BPA165" s="16"/>
      <c r="BPB165" s="16"/>
      <c r="BPC165" s="16"/>
      <c r="BPD165" s="16"/>
      <c r="BPE165" s="16"/>
      <c r="BPF165" s="16"/>
      <c r="BPG165" s="16"/>
      <c r="BPH165" s="16"/>
      <c r="BPI165" s="16"/>
      <c r="BPJ165" s="16"/>
      <c r="BPK165" s="16"/>
      <c r="BPL165" s="16"/>
      <c r="BPM165" s="16"/>
      <c r="BPN165" s="16"/>
      <c r="BPO165" s="16"/>
      <c r="BPP165" s="16"/>
      <c r="BPQ165" s="16"/>
      <c r="BPR165" s="16"/>
      <c r="BPS165" s="16"/>
      <c r="BPT165" s="16"/>
      <c r="BPU165" s="16"/>
      <c r="BPV165" s="16"/>
      <c r="BPW165" s="16"/>
      <c r="BPX165" s="16"/>
      <c r="BPY165" s="16"/>
      <c r="BPZ165" s="16"/>
      <c r="BQA165" s="16"/>
      <c r="BQB165" s="16"/>
      <c r="BQC165" s="16"/>
      <c r="BQD165" s="16"/>
      <c r="BQE165" s="16"/>
      <c r="BQF165" s="16"/>
      <c r="BQG165" s="16"/>
      <c r="BQH165" s="16"/>
      <c r="BQI165" s="16"/>
      <c r="BQJ165" s="16"/>
      <c r="BQK165" s="16"/>
      <c r="BQL165" s="16"/>
      <c r="BQM165" s="16"/>
      <c r="BQN165" s="16"/>
      <c r="BQO165" s="16"/>
      <c r="BQP165" s="16"/>
      <c r="BQQ165" s="16"/>
      <c r="BQR165" s="16"/>
      <c r="BQS165" s="16"/>
      <c r="BQT165" s="16"/>
      <c r="BQU165" s="16"/>
      <c r="BQV165" s="16"/>
      <c r="BQW165" s="16"/>
      <c r="BQX165" s="16"/>
      <c r="BQY165" s="16"/>
      <c r="BQZ165" s="16"/>
      <c r="BRA165" s="16"/>
      <c r="BRB165" s="16"/>
      <c r="BRC165" s="16"/>
      <c r="BRD165" s="16"/>
      <c r="BRE165" s="16"/>
      <c r="BRF165" s="16"/>
      <c r="BRG165" s="16"/>
      <c r="BRH165" s="16"/>
      <c r="BRI165" s="16"/>
      <c r="BRJ165" s="16"/>
      <c r="BRK165" s="16"/>
      <c r="BRL165" s="16"/>
      <c r="BRM165" s="16"/>
      <c r="BRN165" s="16"/>
      <c r="BRO165" s="16"/>
      <c r="BRP165" s="16"/>
      <c r="BRQ165" s="16"/>
      <c r="BRR165" s="16"/>
      <c r="BRS165" s="16"/>
      <c r="BRT165" s="16"/>
      <c r="BRU165" s="16"/>
      <c r="BRV165" s="16"/>
      <c r="BRW165" s="16"/>
      <c r="BRX165" s="16"/>
      <c r="BRY165" s="16"/>
      <c r="BRZ165" s="16"/>
      <c r="BSA165" s="16"/>
      <c r="BSB165" s="16"/>
      <c r="BSC165" s="16"/>
      <c r="BSD165" s="16"/>
      <c r="BSE165" s="16"/>
      <c r="BSF165" s="16"/>
      <c r="BSG165" s="16"/>
      <c r="BSH165" s="16"/>
      <c r="BSI165" s="16"/>
      <c r="BSJ165" s="16"/>
      <c r="BSK165" s="16"/>
      <c r="BSL165" s="16"/>
      <c r="BSM165" s="16"/>
      <c r="BSN165" s="16"/>
      <c r="BSO165" s="16"/>
      <c r="BSP165" s="16"/>
      <c r="BSQ165" s="16"/>
      <c r="BSR165" s="16"/>
      <c r="BSS165" s="16"/>
      <c r="BST165" s="16"/>
      <c r="BSU165" s="16"/>
      <c r="BSV165" s="16"/>
      <c r="BSW165" s="16"/>
      <c r="BSX165" s="16"/>
      <c r="BSY165" s="16"/>
      <c r="BSZ165" s="16"/>
      <c r="BTA165" s="16"/>
      <c r="BTB165" s="16"/>
      <c r="BTC165" s="16"/>
      <c r="BTD165" s="16"/>
      <c r="BTE165" s="16"/>
      <c r="BTF165" s="16"/>
      <c r="BTG165" s="16"/>
      <c r="BTH165" s="16"/>
      <c r="BTI165" s="16"/>
      <c r="BTJ165" s="16"/>
      <c r="BTK165" s="16"/>
      <c r="BTL165" s="16"/>
      <c r="BTM165" s="16"/>
      <c r="BTN165" s="16"/>
      <c r="BTO165" s="16"/>
      <c r="BTP165" s="16"/>
      <c r="BTQ165" s="16"/>
      <c r="BTR165" s="16"/>
      <c r="BTS165" s="16"/>
      <c r="BTT165" s="16"/>
      <c r="BTU165" s="16"/>
      <c r="BTV165" s="16"/>
      <c r="BTW165" s="16"/>
      <c r="BTX165" s="16"/>
      <c r="BTY165" s="16"/>
      <c r="BTZ165" s="16"/>
      <c r="BUA165" s="16"/>
      <c r="BUB165" s="16"/>
      <c r="BUC165" s="16"/>
      <c r="BUD165" s="16"/>
      <c r="BUE165" s="16"/>
      <c r="BUF165" s="16"/>
      <c r="BUG165" s="16"/>
      <c r="BUH165" s="16"/>
      <c r="BUI165" s="16"/>
      <c r="BUJ165" s="16"/>
      <c r="BUK165" s="16"/>
      <c r="BUL165" s="16"/>
      <c r="BUM165" s="16"/>
      <c r="BUN165" s="16"/>
      <c r="BUO165" s="16"/>
      <c r="BUP165" s="16"/>
      <c r="BUQ165" s="16"/>
      <c r="BUR165" s="16"/>
      <c r="BUS165" s="16"/>
      <c r="BUT165" s="16"/>
      <c r="BUU165" s="16"/>
      <c r="BUV165" s="16"/>
      <c r="BUW165" s="16"/>
      <c r="BUX165" s="16"/>
      <c r="BUY165" s="16"/>
      <c r="BUZ165" s="16"/>
      <c r="BVA165" s="16"/>
      <c r="BVB165" s="16"/>
      <c r="BVC165" s="16"/>
      <c r="BVD165" s="16"/>
      <c r="BVE165" s="16"/>
      <c r="BVF165" s="16"/>
      <c r="BVG165" s="16"/>
      <c r="BVH165" s="16"/>
      <c r="BVI165" s="16"/>
      <c r="BVJ165" s="16"/>
      <c r="BVK165" s="16"/>
      <c r="BVL165" s="16"/>
      <c r="BVM165" s="16"/>
      <c r="BVN165" s="16"/>
      <c r="BVO165" s="16"/>
      <c r="BVP165" s="16"/>
      <c r="BVQ165" s="16"/>
      <c r="BVR165" s="16"/>
      <c r="BVS165" s="16"/>
      <c r="BVT165" s="16"/>
      <c r="BVU165" s="16"/>
      <c r="BVV165" s="16"/>
      <c r="BVW165" s="16"/>
      <c r="BVX165" s="16"/>
      <c r="BVY165" s="16"/>
      <c r="BVZ165" s="16"/>
      <c r="BWA165" s="16"/>
      <c r="BWB165" s="16"/>
      <c r="BWC165" s="16"/>
      <c r="BWD165" s="16"/>
      <c r="BWE165" s="16"/>
      <c r="BWF165" s="16"/>
      <c r="BWG165" s="16"/>
      <c r="BWH165" s="16"/>
      <c r="BWI165" s="16"/>
      <c r="BWJ165" s="16"/>
      <c r="BWK165" s="16"/>
      <c r="BWL165" s="16"/>
      <c r="BWM165" s="16"/>
      <c r="BWN165" s="16"/>
      <c r="BWO165" s="16"/>
      <c r="BWP165" s="16"/>
      <c r="BWQ165" s="16"/>
      <c r="BWR165" s="16"/>
      <c r="BWS165" s="16"/>
      <c r="BWT165" s="16"/>
      <c r="BWU165" s="16"/>
      <c r="BWV165" s="16"/>
      <c r="BWW165" s="16"/>
      <c r="BWX165" s="16"/>
      <c r="BWY165" s="16"/>
      <c r="BWZ165" s="16"/>
      <c r="BXA165" s="16"/>
      <c r="BXB165" s="16"/>
      <c r="BXC165" s="16"/>
      <c r="BXD165" s="16"/>
      <c r="BXE165" s="16"/>
      <c r="BXF165" s="16"/>
      <c r="BXG165" s="16"/>
      <c r="BXH165" s="16"/>
      <c r="BXI165" s="16"/>
      <c r="BXJ165" s="16"/>
      <c r="BXK165" s="16"/>
      <c r="BXL165" s="16"/>
      <c r="BXM165" s="16"/>
      <c r="BXN165" s="16"/>
      <c r="BXO165" s="16"/>
      <c r="BXP165" s="16"/>
      <c r="BXQ165" s="16"/>
      <c r="BXR165" s="16"/>
      <c r="BXS165" s="16"/>
      <c r="BXT165" s="16"/>
      <c r="BXU165" s="16"/>
      <c r="BXV165" s="16"/>
      <c r="BXW165" s="16"/>
      <c r="BXX165" s="16"/>
      <c r="BXY165" s="16"/>
      <c r="BXZ165" s="16"/>
      <c r="BYA165" s="16"/>
      <c r="BYB165" s="16"/>
      <c r="BYC165" s="16"/>
      <c r="BYD165" s="16"/>
      <c r="BYE165" s="16"/>
      <c r="BYF165" s="16"/>
      <c r="BYG165" s="16"/>
      <c r="BYH165" s="16"/>
      <c r="BYI165" s="16"/>
      <c r="BYJ165" s="16"/>
      <c r="BYK165" s="16"/>
      <c r="BYL165" s="16"/>
      <c r="BYM165" s="16"/>
      <c r="BYN165" s="16"/>
      <c r="BYO165" s="16"/>
      <c r="BYP165" s="16"/>
      <c r="BYQ165" s="16"/>
      <c r="BYR165" s="16"/>
      <c r="BYS165" s="16"/>
      <c r="BYT165" s="16"/>
      <c r="BYU165" s="16"/>
      <c r="BYV165" s="16"/>
      <c r="BYW165" s="16"/>
      <c r="BYX165" s="16"/>
      <c r="BYY165" s="16"/>
      <c r="BYZ165" s="16"/>
      <c r="BZA165" s="16"/>
      <c r="BZB165" s="16"/>
      <c r="BZC165" s="16"/>
      <c r="BZD165" s="16"/>
      <c r="BZE165" s="16"/>
      <c r="BZF165" s="16"/>
      <c r="BZG165" s="16"/>
      <c r="BZH165" s="16"/>
      <c r="BZI165" s="16"/>
      <c r="BZJ165" s="16"/>
      <c r="BZK165" s="16"/>
      <c r="BZL165" s="16"/>
      <c r="BZM165" s="16"/>
      <c r="BZN165" s="16"/>
      <c r="BZO165" s="16"/>
      <c r="BZP165" s="16"/>
      <c r="BZQ165" s="16"/>
      <c r="BZR165" s="16"/>
      <c r="BZS165" s="16"/>
      <c r="BZT165" s="16"/>
      <c r="BZU165" s="16"/>
      <c r="BZV165" s="16"/>
      <c r="BZW165" s="16"/>
      <c r="BZX165" s="16"/>
      <c r="BZY165" s="16"/>
      <c r="BZZ165" s="16"/>
      <c r="CAA165" s="16"/>
      <c r="CAB165" s="16"/>
      <c r="CAC165" s="16"/>
      <c r="CAD165" s="16"/>
      <c r="CAE165" s="16"/>
      <c r="CAF165" s="16"/>
      <c r="CAG165" s="16"/>
      <c r="CAH165" s="16"/>
      <c r="CAI165" s="16"/>
      <c r="CAJ165" s="16"/>
      <c r="CAK165" s="16"/>
      <c r="CAL165" s="16"/>
      <c r="CAM165" s="16"/>
      <c r="CAN165" s="16"/>
      <c r="CAO165" s="16"/>
      <c r="CAP165" s="16"/>
      <c r="CAQ165" s="16"/>
      <c r="CAR165" s="16"/>
      <c r="CAS165" s="16"/>
      <c r="CAT165" s="16"/>
      <c r="CAU165" s="16"/>
      <c r="CAV165" s="16"/>
      <c r="CAW165" s="16"/>
      <c r="CAX165" s="16"/>
      <c r="CAY165" s="16"/>
      <c r="CAZ165" s="16"/>
      <c r="CBA165" s="16"/>
      <c r="CBB165" s="16"/>
      <c r="CBC165" s="16"/>
      <c r="CBD165" s="16"/>
      <c r="CBE165" s="16"/>
      <c r="CBF165" s="16"/>
      <c r="CBG165" s="16"/>
      <c r="CBH165" s="16"/>
      <c r="CBI165" s="16"/>
      <c r="CBJ165" s="16"/>
      <c r="CBK165" s="16"/>
      <c r="CBL165" s="16"/>
      <c r="CBM165" s="16"/>
      <c r="CBN165" s="16"/>
      <c r="CBO165" s="16"/>
      <c r="CBP165" s="16"/>
      <c r="CBQ165" s="16"/>
      <c r="CBR165" s="16"/>
      <c r="CBS165" s="16"/>
      <c r="CBT165" s="16"/>
      <c r="CBU165" s="16"/>
      <c r="CBV165" s="16"/>
      <c r="CBW165" s="16"/>
      <c r="CBX165" s="16"/>
      <c r="CBY165" s="16"/>
      <c r="CBZ165" s="16"/>
      <c r="CCA165" s="16"/>
      <c r="CCB165" s="16"/>
      <c r="CCC165" s="16"/>
      <c r="CCD165" s="16"/>
      <c r="CCE165" s="16"/>
      <c r="CCF165" s="16"/>
      <c r="CCG165" s="16"/>
      <c r="CCH165" s="16"/>
      <c r="CCI165" s="16"/>
      <c r="CCJ165" s="16"/>
      <c r="CCK165" s="16"/>
      <c r="CCL165" s="16"/>
      <c r="CCM165" s="16"/>
      <c r="CCN165" s="16"/>
      <c r="CCO165" s="16"/>
      <c r="CCP165" s="16"/>
      <c r="CCQ165" s="16"/>
      <c r="CCR165" s="16"/>
      <c r="CCS165" s="16"/>
      <c r="CCT165" s="16"/>
      <c r="CCU165" s="16"/>
      <c r="CCV165" s="16"/>
      <c r="CCW165" s="16"/>
      <c r="CCX165" s="16"/>
      <c r="CCY165" s="16"/>
      <c r="CCZ165" s="16"/>
      <c r="CDA165" s="16"/>
      <c r="CDB165" s="16"/>
      <c r="CDC165" s="16"/>
      <c r="CDD165" s="16"/>
      <c r="CDE165" s="16"/>
      <c r="CDF165" s="16"/>
      <c r="CDG165" s="16"/>
      <c r="CDH165" s="16"/>
      <c r="CDI165" s="16"/>
      <c r="CDJ165" s="16"/>
      <c r="CDK165" s="16"/>
      <c r="CDL165" s="16"/>
      <c r="CDM165" s="16"/>
      <c r="CDN165" s="16"/>
      <c r="CDO165" s="16"/>
      <c r="CDP165" s="16"/>
      <c r="CDQ165" s="16"/>
      <c r="CDR165" s="16"/>
      <c r="CDS165" s="16"/>
      <c r="CDT165" s="16"/>
      <c r="CDU165" s="16"/>
      <c r="CDV165" s="16"/>
      <c r="CDW165" s="16"/>
      <c r="CDX165" s="16"/>
      <c r="CDY165" s="16"/>
      <c r="CDZ165" s="16"/>
      <c r="CEA165" s="16"/>
      <c r="CEB165" s="16"/>
      <c r="CEC165" s="16"/>
      <c r="CED165" s="16"/>
      <c r="CEE165" s="16"/>
      <c r="CEF165" s="16"/>
      <c r="CEG165" s="16"/>
      <c r="CEH165" s="16"/>
      <c r="CEI165" s="16"/>
      <c r="CEJ165" s="16"/>
      <c r="CEK165" s="16"/>
      <c r="CEL165" s="16"/>
      <c r="CEM165" s="16"/>
      <c r="CEN165" s="16"/>
      <c r="CEO165" s="16"/>
      <c r="CEP165" s="16"/>
      <c r="CEQ165" s="16"/>
      <c r="CER165" s="16"/>
      <c r="CES165" s="16"/>
      <c r="CET165" s="16"/>
      <c r="CEU165" s="16"/>
      <c r="CEV165" s="16"/>
      <c r="CEW165" s="16"/>
      <c r="CEX165" s="16"/>
      <c r="CEY165" s="16"/>
      <c r="CEZ165" s="16"/>
      <c r="CFA165" s="16"/>
      <c r="CFB165" s="16"/>
      <c r="CFC165" s="16"/>
      <c r="CFD165" s="16"/>
      <c r="CFE165" s="16"/>
      <c r="CFF165" s="16"/>
      <c r="CFG165" s="16"/>
      <c r="CFH165" s="16"/>
      <c r="CFI165" s="16"/>
      <c r="CFJ165" s="16"/>
      <c r="CFK165" s="16"/>
      <c r="CFL165" s="16"/>
      <c r="CFM165" s="16"/>
      <c r="CFN165" s="16"/>
      <c r="CFO165" s="16"/>
      <c r="CFP165" s="16"/>
      <c r="CFQ165" s="16"/>
      <c r="CFR165" s="16"/>
      <c r="CFS165" s="16"/>
      <c r="CFT165" s="16"/>
      <c r="CFU165" s="16"/>
      <c r="CFV165" s="16"/>
      <c r="CFW165" s="16"/>
      <c r="CFX165" s="16"/>
      <c r="CFY165" s="16"/>
      <c r="CFZ165" s="16"/>
      <c r="CGA165" s="16"/>
      <c r="CGB165" s="16"/>
      <c r="CGC165" s="16"/>
      <c r="CGD165" s="16"/>
      <c r="CGE165" s="16"/>
      <c r="CGF165" s="16"/>
      <c r="CGG165" s="16"/>
      <c r="CGH165" s="16"/>
      <c r="CGI165" s="16"/>
      <c r="CGJ165" s="16"/>
      <c r="CGK165" s="16"/>
      <c r="CGL165" s="16"/>
      <c r="CGM165" s="16"/>
      <c r="CGN165" s="16"/>
      <c r="CGO165" s="16"/>
      <c r="CGP165" s="16"/>
      <c r="CGQ165" s="16"/>
      <c r="CGR165" s="16"/>
      <c r="CGS165" s="16"/>
      <c r="CGT165" s="16"/>
      <c r="CGU165" s="16"/>
      <c r="CGV165" s="16"/>
      <c r="CGW165" s="16"/>
      <c r="CGX165" s="16"/>
      <c r="CGY165" s="16"/>
      <c r="CGZ165" s="16"/>
      <c r="CHA165" s="16"/>
      <c r="CHB165" s="16"/>
      <c r="CHC165" s="16"/>
      <c r="CHD165" s="16"/>
      <c r="CHE165" s="16"/>
      <c r="CHF165" s="16"/>
      <c r="CHG165" s="16"/>
      <c r="CHH165" s="16"/>
      <c r="CHI165" s="16"/>
      <c r="CHJ165" s="16"/>
      <c r="CHK165" s="16"/>
      <c r="CHL165" s="16"/>
      <c r="CHM165" s="16"/>
      <c r="CHN165" s="16"/>
      <c r="CHO165" s="16"/>
      <c r="CHP165" s="16"/>
      <c r="CHQ165" s="16"/>
      <c r="CHR165" s="16"/>
      <c r="CHS165" s="16"/>
      <c r="CHT165" s="16"/>
      <c r="CHU165" s="16"/>
      <c r="CHV165" s="16"/>
      <c r="CHW165" s="16"/>
      <c r="CHX165" s="16"/>
      <c r="CHY165" s="16"/>
      <c r="CHZ165" s="16"/>
      <c r="CIA165" s="16"/>
      <c r="CIB165" s="16"/>
      <c r="CIC165" s="16"/>
      <c r="CID165" s="16"/>
      <c r="CIE165" s="16"/>
      <c r="CIF165" s="16"/>
      <c r="CIG165" s="16"/>
      <c r="CIH165" s="16"/>
      <c r="CII165" s="16"/>
      <c r="CIJ165" s="16"/>
      <c r="CIK165" s="16"/>
      <c r="CIL165" s="16"/>
      <c r="CIM165" s="16"/>
      <c r="CIN165" s="16"/>
      <c r="CIO165" s="16"/>
      <c r="CIP165" s="16"/>
      <c r="CIQ165" s="16"/>
      <c r="CIR165" s="16"/>
      <c r="CIS165" s="16"/>
      <c r="CIT165" s="16"/>
      <c r="CIU165" s="16"/>
      <c r="CIV165" s="16"/>
      <c r="CIW165" s="16"/>
      <c r="CIX165" s="16"/>
      <c r="CIY165" s="16"/>
      <c r="CIZ165" s="16"/>
      <c r="CJA165" s="16"/>
      <c r="CJB165" s="16"/>
      <c r="CJC165" s="16"/>
      <c r="CJD165" s="16"/>
      <c r="CJE165" s="16"/>
      <c r="CJF165" s="16"/>
      <c r="CJG165" s="16"/>
      <c r="CJH165" s="16"/>
      <c r="CJI165" s="16"/>
      <c r="CJJ165" s="16"/>
      <c r="CJK165" s="16"/>
      <c r="CJL165" s="16"/>
      <c r="CJM165" s="16"/>
      <c r="CJN165" s="16"/>
      <c r="CJO165" s="16"/>
      <c r="CJP165" s="16"/>
      <c r="CJQ165" s="16"/>
      <c r="CJR165" s="16"/>
      <c r="CJS165" s="16"/>
      <c r="CJT165" s="16"/>
      <c r="CJU165" s="16"/>
      <c r="CJV165" s="16"/>
      <c r="CJW165" s="16"/>
      <c r="CJX165" s="16"/>
      <c r="CJY165" s="16"/>
      <c r="CJZ165" s="16"/>
      <c r="CKA165" s="16"/>
      <c r="CKB165" s="16"/>
      <c r="CKC165" s="16"/>
      <c r="CKD165" s="16"/>
      <c r="CKE165" s="16"/>
      <c r="CKF165" s="16"/>
      <c r="CKG165" s="16"/>
      <c r="CKH165" s="16"/>
      <c r="CKI165" s="16"/>
      <c r="CKJ165" s="16"/>
      <c r="CKK165" s="16"/>
      <c r="CKL165" s="16"/>
      <c r="CKM165" s="16"/>
      <c r="CKN165" s="16"/>
      <c r="CKO165" s="16"/>
      <c r="CKP165" s="16"/>
      <c r="CKQ165" s="16"/>
      <c r="CKR165" s="16"/>
      <c r="CKS165" s="16"/>
      <c r="CKT165" s="16"/>
      <c r="CKU165" s="16"/>
      <c r="CKV165" s="16"/>
      <c r="CKW165" s="16"/>
      <c r="CKX165" s="16"/>
      <c r="CKY165" s="16"/>
      <c r="CKZ165" s="16"/>
      <c r="CLA165" s="16"/>
      <c r="CLB165" s="16"/>
      <c r="CLC165" s="16"/>
      <c r="CLD165" s="16"/>
      <c r="CLE165" s="16"/>
      <c r="CLF165" s="16"/>
      <c r="CLG165" s="16"/>
      <c r="CLH165" s="16"/>
      <c r="CLI165" s="16"/>
      <c r="CLJ165" s="16"/>
      <c r="CLK165" s="16"/>
      <c r="CLL165" s="16"/>
      <c r="CLM165" s="16"/>
      <c r="CLN165" s="16"/>
      <c r="CLO165" s="16"/>
      <c r="CLP165" s="16"/>
      <c r="CLQ165" s="16"/>
      <c r="CLR165" s="16"/>
      <c r="CLS165" s="16"/>
      <c r="CLT165" s="16"/>
      <c r="CLU165" s="16"/>
      <c r="CLV165" s="16"/>
      <c r="CLW165" s="16"/>
      <c r="CLX165" s="16"/>
      <c r="CLY165" s="16"/>
      <c r="CLZ165" s="16"/>
      <c r="CMA165" s="16"/>
      <c r="CMB165" s="16"/>
      <c r="CMC165" s="16"/>
      <c r="CMD165" s="16"/>
      <c r="CME165" s="16"/>
      <c r="CMF165" s="16"/>
      <c r="CMG165" s="16"/>
      <c r="CMH165" s="16"/>
      <c r="CMI165" s="16"/>
      <c r="CMJ165" s="16"/>
      <c r="CMK165" s="16"/>
      <c r="CML165" s="16"/>
      <c r="CMM165" s="16"/>
      <c r="CMN165" s="16"/>
      <c r="CMO165" s="16"/>
      <c r="CMP165" s="16"/>
      <c r="CMQ165" s="16"/>
      <c r="CMR165" s="16"/>
      <c r="CMS165" s="16"/>
      <c r="CMT165" s="16"/>
      <c r="CMU165" s="16"/>
      <c r="CMV165" s="16"/>
      <c r="CMW165" s="16"/>
      <c r="CMX165" s="16"/>
      <c r="CMY165" s="16"/>
      <c r="CMZ165" s="16"/>
      <c r="CNA165" s="16"/>
      <c r="CNB165" s="16"/>
      <c r="CNC165" s="16"/>
      <c r="CND165" s="16"/>
      <c r="CNE165" s="16"/>
      <c r="CNF165" s="16"/>
      <c r="CNG165" s="16"/>
      <c r="CNH165" s="16"/>
      <c r="CNI165" s="16"/>
      <c r="CNJ165" s="16"/>
      <c r="CNK165" s="16"/>
      <c r="CNL165" s="16"/>
      <c r="CNM165" s="16"/>
      <c r="CNN165" s="16"/>
      <c r="CNO165" s="16"/>
      <c r="CNP165" s="16"/>
      <c r="CNQ165" s="16"/>
      <c r="CNR165" s="16"/>
      <c r="CNS165" s="16"/>
      <c r="CNT165" s="16"/>
      <c r="CNU165" s="16"/>
      <c r="CNV165" s="16"/>
      <c r="CNW165" s="16"/>
      <c r="CNX165" s="16"/>
      <c r="CNY165" s="16"/>
      <c r="CNZ165" s="16"/>
      <c r="COA165" s="16"/>
      <c r="COB165" s="16"/>
      <c r="COC165" s="16"/>
      <c r="COD165" s="16"/>
      <c r="COE165" s="16"/>
      <c r="COF165" s="16"/>
      <c r="COG165" s="16"/>
      <c r="COH165" s="16"/>
      <c r="COI165" s="16"/>
      <c r="COJ165" s="16"/>
      <c r="COK165" s="16"/>
      <c r="COL165" s="16"/>
      <c r="COM165" s="16"/>
      <c r="CON165" s="16"/>
      <c r="COO165" s="16"/>
      <c r="COP165" s="16"/>
      <c r="COQ165" s="16"/>
      <c r="COR165" s="16"/>
      <c r="COS165" s="16"/>
      <c r="COT165" s="16"/>
      <c r="COU165" s="16"/>
      <c r="COV165" s="16"/>
      <c r="COW165" s="16"/>
      <c r="COX165" s="16"/>
      <c r="COY165" s="16"/>
      <c r="COZ165" s="16"/>
      <c r="CPA165" s="16"/>
      <c r="CPB165" s="16"/>
      <c r="CPC165" s="16"/>
      <c r="CPD165" s="16"/>
      <c r="CPE165" s="16"/>
      <c r="CPF165" s="16"/>
      <c r="CPG165" s="16"/>
      <c r="CPH165" s="16"/>
      <c r="CPI165" s="16"/>
      <c r="CPJ165" s="16"/>
      <c r="CPK165" s="16"/>
      <c r="CPL165" s="16"/>
      <c r="CPM165" s="16"/>
      <c r="CPN165" s="16"/>
      <c r="CPO165" s="16"/>
      <c r="CPP165" s="16"/>
      <c r="CPQ165" s="16"/>
      <c r="CPR165" s="16"/>
      <c r="CPS165" s="16"/>
      <c r="CPT165" s="16"/>
      <c r="CPU165" s="16"/>
      <c r="CPV165" s="16"/>
      <c r="CPW165" s="16"/>
      <c r="CPX165" s="16"/>
      <c r="CPY165" s="16"/>
      <c r="CPZ165" s="16"/>
      <c r="CQA165" s="16"/>
      <c r="CQB165" s="16"/>
      <c r="CQC165" s="16"/>
      <c r="CQD165" s="16"/>
      <c r="CQE165" s="16"/>
      <c r="CQF165" s="16"/>
      <c r="CQG165" s="16"/>
      <c r="CQH165" s="16"/>
      <c r="CQI165" s="16"/>
      <c r="CQJ165" s="16"/>
      <c r="CQK165" s="16"/>
      <c r="CQL165" s="16"/>
      <c r="CQM165" s="16"/>
      <c r="CQN165" s="16"/>
      <c r="CQO165" s="16"/>
      <c r="CQP165" s="16"/>
      <c r="CQQ165" s="16"/>
      <c r="CQR165" s="16"/>
      <c r="CQS165" s="16"/>
      <c r="CQT165" s="16"/>
      <c r="CQU165" s="16"/>
      <c r="CQV165" s="16"/>
      <c r="CQW165" s="16"/>
      <c r="CQX165" s="16"/>
      <c r="CQY165" s="16"/>
      <c r="CQZ165" s="16"/>
      <c r="CRA165" s="16"/>
      <c r="CRB165" s="16"/>
      <c r="CRC165" s="16"/>
      <c r="CRD165" s="16"/>
      <c r="CRE165" s="16"/>
      <c r="CRF165" s="16"/>
      <c r="CRG165" s="16"/>
      <c r="CRH165" s="16"/>
      <c r="CRI165" s="16"/>
      <c r="CRJ165" s="16"/>
      <c r="CRK165" s="16"/>
      <c r="CRL165" s="16"/>
      <c r="CRM165" s="16"/>
      <c r="CRN165" s="16"/>
      <c r="CRO165" s="16"/>
      <c r="CRP165" s="16"/>
      <c r="CRQ165" s="16"/>
      <c r="CRR165" s="16"/>
      <c r="CRS165" s="16"/>
      <c r="CRT165" s="16"/>
      <c r="CRU165" s="16"/>
      <c r="CRV165" s="16"/>
      <c r="CRW165" s="16"/>
      <c r="CRX165" s="16"/>
      <c r="CRY165" s="16"/>
      <c r="CRZ165" s="16"/>
      <c r="CSA165" s="16"/>
      <c r="CSB165" s="16"/>
      <c r="CSC165" s="16"/>
      <c r="CSD165" s="16"/>
      <c r="CSE165" s="16"/>
      <c r="CSF165" s="16"/>
      <c r="CSG165" s="16"/>
      <c r="CSH165" s="16"/>
      <c r="CSI165" s="16"/>
      <c r="CSJ165" s="16"/>
      <c r="CSK165" s="16"/>
      <c r="CSL165" s="16"/>
      <c r="CSM165" s="16"/>
      <c r="CSN165" s="16"/>
      <c r="CSO165" s="16"/>
      <c r="CSP165" s="16"/>
      <c r="CSQ165" s="16"/>
      <c r="CSR165" s="16"/>
      <c r="CSS165" s="16"/>
      <c r="CST165" s="16"/>
      <c r="CSU165" s="16"/>
      <c r="CSV165" s="16"/>
      <c r="CSW165" s="16"/>
      <c r="CSX165" s="16"/>
      <c r="CSY165" s="16"/>
      <c r="CSZ165" s="16"/>
      <c r="CTA165" s="16"/>
      <c r="CTB165" s="16"/>
      <c r="CTC165" s="16"/>
      <c r="CTD165" s="16"/>
      <c r="CTE165" s="16"/>
      <c r="CTF165" s="16"/>
      <c r="CTG165" s="16"/>
      <c r="CTH165" s="16"/>
      <c r="CTI165" s="16"/>
      <c r="CTJ165" s="16"/>
      <c r="CTK165" s="16"/>
      <c r="CTL165" s="16"/>
      <c r="CTM165" s="16"/>
      <c r="CTN165" s="16"/>
      <c r="CTO165" s="16"/>
      <c r="CTP165" s="16"/>
      <c r="CTQ165" s="16"/>
      <c r="CTR165" s="16"/>
      <c r="CTS165" s="16"/>
      <c r="CTT165" s="16"/>
      <c r="CTU165" s="16"/>
      <c r="CTV165" s="16"/>
      <c r="CTW165" s="16"/>
      <c r="CTX165" s="16"/>
      <c r="CTY165" s="16"/>
      <c r="CTZ165" s="16"/>
      <c r="CUA165" s="16"/>
      <c r="CUB165" s="16"/>
      <c r="CUC165" s="16"/>
      <c r="CUD165" s="16"/>
      <c r="CUE165" s="16"/>
      <c r="CUF165" s="16"/>
      <c r="CUG165" s="16"/>
      <c r="CUH165" s="16"/>
      <c r="CUI165" s="16"/>
      <c r="CUJ165" s="16"/>
      <c r="CUK165" s="16"/>
      <c r="CUL165" s="16"/>
      <c r="CUM165" s="16"/>
      <c r="CUN165" s="16"/>
      <c r="CUO165" s="16"/>
      <c r="CUP165" s="16"/>
      <c r="CUQ165" s="16"/>
      <c r="CUR165" s="16"/>
      <c r="CUS165" s="16"/>
      <c r="CUT165" s="16"/>
      <c r="CUU165" s="16"/>
      <c r="CUV165" s="16"/>
      <c r="CUW165" s="16"/>
      <c r="CUX165" s="16"/>
      <c r="CUY165" s="16"/>
      <c r="CUZ165" s="16"/>
      <c r="CVA165" s="16"/>
      <c r="CVB165" s="16"/>
      <c r="CVC165" s="16"/>
      <c r="CVD165" s="16"/>
      <c r="CVE165" s="16"/>
      <c r="CVF165" s="16"/>
      <c r="CVG165" s="16"/>
      <c r="CVH165" s="16"/>
      <c r="CVI165" s="16"/>
      <c r="CVJ165" s="16"/>
      <c r="CVK165" s="16"/>
      <c r="CVL165" s="16"/>
      <c r="CVM165" s="16"/>
      <c r="CVN165" s="16"/>
      <c r="CVO165" s="16"/>
      <c r="CVP165" s="16"/>
      <c r="CVQ165" s="16"/>
      <c r="CVR165" s="16"/>
      <c r="CVS165" s="16"/>
      <c r="CVT165" s="16"/>
      <c r="CVU165" s="16"/>
      <c r="CVV165" s="16"/>
      <c r="CVW165" s="16"/>
      <c r="CVX165" s="16"/>
      <c r="CVY165" s="16"/>
      <c r="CVZ165" s="16"/>
      <c r="CWA165" s="16"/>
      <c r="CWB165" s="16"/>
      <c r="CWC165" s="16"/>
      <c r="CWD165" s="16"/>
      <c r="CWE165" s="16"/>
      <c r="CWF165" s="16"/>
      <c r="CWG165" s="16"/>
      <c r="CWH165" s="16"/>
      <c r="CWI165" s="16"/>
      <c r="CWJ165" s="16"/>
      <c r="CWK165" s="16"/>
      <c r="CWL165" s="16"/>
      <c r="CWM165" s="16"/>
      <c r="CWN165" s="16"/>
      <c r="CWO165" s="16"/>
      <c r="CWP165" s="16"/>
      <c r="CWQ165" s="16"/>
      <c r="CWR165" s="16"/>
      <c r="CWS165" s="16"/>
      <c r="CWT165" s="16"/>
      <c r="CWU165" s="16"/>
      <c r="CWV165" s="16"/>
      <c r="CWW165" s="16"/>
      <c r="CWX165" s="16"/>
      <c r="CWY165" s="16"/>
      <c r="CWZ165" s="16"/>
      <c r="CXA165" s="16"/>
      <c r="CXB165" s="16"/>
      <c r="CXC165" s="16"/>
      <c r="CXD165" s="16"/>
      <c r="CXE165" s="16"/>
      <c r="CXF165" s="16"/>
      <c r="CXG165" s="16"/>
      <c r="CXH165" s="16"/>
      <c r="CXI165" s="16"/>
      <c r="CXJ165" s="16"/>
      <c r="CXK165" s="16"/>
      <c r="CXL165" s="16"/>
      <c r="CXM165" s="16"/>
      <c r="CXN165" s="16"/>
      <c r="CXO165" s="16"/>
      <c r="CXP165" s="16"/>
      <c r="CXQ165" s="16"/>
      <c r="CXR165" s="16"/>
      <c r="CXS165" s="16"/>
      <c r="CXT165" s="16"/>
      <c r="CXU165" s="16"/>
      <c r="CXV165" s="16"/>
      <c r="CXW165" s="16"/>
      <c r="CXX165" s="16"/>
      <c r="CXY165" s="16"/>
      <c r="CXZ165" s="16"/>
      <c r="CYA165" s="16"/>
      <c r="CYB165" s="16"/>
      <c r="CYC165" s="16"/>
      <c r="CYD165" s="16"/>
      <c r="CYE165" s="16"/>
      <c r="CYF165" s="16"/>
      <c r="CYG165" s="16"/>
      <c r="CYH165" s="16"/>
      <c r="CYI165" s="16"/>
      <c r="CYJ165" s="16"/>
      <c r="CYK165" s="16"/>
      <c r="CYL165" s="16"/>
      <c r="CYM165" s="16"/>
      <c r="CYN165" s="16"/>
      <c r="CYO165" s="16"/>
      <c r="CYP165" s="16"/>
      <c r="CYQ165" s="16"/>
      <c r="CYR165" s="16"/>
      <c r="CYS165" s="16"/>
      <c r="CYT165" s="16"/>
      <c r="CYU165" s="16"/>
      <c r="CYV165" s="16"/>
      <c r="CYW165" s="16"/>
      <c r="CYX165" s="16"/>
      <c r="CYY165" s="16"/>
      <c r="CYZ165" s="16"/>
      <c r="CZA165" s="16"/>
      <c r="CZB165" s="16"/>
      <c r="CZC165" s="16"/>
      <c r="CZD165" s="16"/>
      <c r="CZE165" s="16"/>
      <c r="CZF165" s="16"/>
      <c r="CZG165" s="16"/>
      <c r="CZH165" s="16"/>
      <c r="CZI165" s="16"/>
      <c r="CZJ165" s="16"/>
      <c r="CZK165" s="16"/>
      <c r="CZL165" s="16"/>
      <c r="CZM165" s="16"/>
      <c r="CZN165" s="16"/>
      <c r="CZO165" s="16"/>
      <c r="CZP165" s="16"/>
      <c r="CZQ165" s="16"/>
      <c r="CZR165" s="16"/>
      <c r="CZS165" s="16"/>
      <c r="CZT165" s="16"/>
      <c r="CZU165" s="16"/>
      <c r="CZV165" s="16"/>
      <c r="CZW165" s="16"/>
      <c r="CZX165" s="16"/>
      <c r="CZY165" s="16"/>
      <c r="CZZ165" s="16"/>
      <c r="DAA165" s="16"/>
      <c r="DAB165" s="16"/>
      <c r="DAC165" s="16"/>
      <c r="DAD165" s="16"/>
      <c r="DAE165" s="16"/>
      <c r="DAF165" s="16"/>
      <c r="DAG165" s="16"/>
      <c r="DAH165" s="16"/>
      <c r="DAI165" s="16"/>
      <c r="DAJ165" s="16"/>
      <c r="DAK165" s="16"/>
      <c r="DAL165" s="16"/>
      <c r="DAM165" s="16"/>
      <c r="DAN165" s="16"/>
      <c r="DAO165" s="16"/>
      <c r="DAP165" s="16"/>
      <c r="DAQ165" s="16"/>
      <c r="DAR165" s="16"/>
      <c r="DAS165" s="16"/>
      <c r="DAT165" s="16"/>
      <c r="DAU165" s="16"/>
      <c r="DAV165" s="16"/>
      <c r="DAW165" s="16"/>
      <c r="DAX165" s="16"/>
      <c r="DAY165" s="16"/>
      <c r="DAZ165" s="16"/>
      <c r="DBA165" s="16"/>
      <c r="DBB165" s="16"/>
      <c r="DBC165" s="16"/>
      <c r="DBD165" s="16"/>
      <c r="DBE165" s="16"/>
      <c r="DBF165" s="16"/>
      <c r="DBG165" s="16"/>
      <c r="DBH165" s="16"/>
      <c r="DBI165" s="16"/>
      <c r="DBJ165" s="16"/>
      <c r="DBK165" s="16"/>
      <c r="DBL165" s="16"/>
      <c r="DBM165" s="16"/>
      <c r="DBN165" s="16"/>
      <c r="DBO165" s="16"/>
      <c r="DBP165" s="16"/>
      <c r="DBQ165" s="16"/>
      <c r="DBR165" s="16"/>
      <c r="DBS165" s="16"/>
      <c r="DBT165" s="16"/>
      <c r="DBU165" s="16"/>
      <c r="DBV165" s="16"/>
      <c r="DBW165" s="16"/>
      <c r="DBX165" s="16"/>
      <c r="DBY165" s="16"/>
      <c r="DBZ165" s="16"/>
      <c r="DCA165" s="16"/>
      <c r="DCB165" s="16"/>
      <c r="DCC165" s="16"/>
      <c r="DCD165" s="16"/>
      <c r="DCE165" s="16"/>
      <c r="DCF165" s="16"/>
      <c r="DCG165" s="16"/>
      <c r="DCH165" s="16"/>
      <c r="DCI165" s="16"/>
      <c r="DCJ165" s="16"/>
      <c r="DCK165" s="16"/>
      <c r="DCL165" s="16"/>
      <c r="DCM165" s="16"/>
      <c r="DCN165" s="16"/>
      <c r="DCO165" s="16"/>
      <c r="DCP165" s="16"/>
      <c r="DCQ165" s="16"/>
      <c r="DCR165" s="16"/>
      <c r="DCS165" s="16"/>
      <c r="DCT165" s="16"/>
      <c r="DCU165" s="16"/>
      <c r="DCV165" s="16"/>
      <c r="DCW165" s="16"/>
      <c r="DCX165" s="16"/>
      <c r="DCY165" s="16"/>
      <c r="DCZ165" s="16"/>
      <c r="DDA165" s="16"/>
      <c r="DDB165" s="16"/>
      <c r="DDC165" s="16"/>
      <c r="DDD165" s="16"/>
      <c r="DDE165" s="16"/>
      <c r="DDF165" s="16"/>
      <c r="DDG165" s="16"/>
      <c r="DDH165" s="16"/>
      <c r="DDI165" s="16"/>
      <c r="DDJ165" s="16"/>
      <c r="DDK165" s="16"/>
      <c r="DDL165" s="16"/>
      <c r="DDM165" s="16"/>
      <c r="DDN165" s="16"/>
      <c r="DDO165" s="16"/>
      <c r="DDP165" s="16"/>
      <c r="DDQ165" s="16"/>
      <c r="DDR165" s="16"/>
      <c r="DDS165" s="16"/>
      <c r="DDT165" s="16"/>
      <c r="DDU165" s="16"/>
      <c r="DDV165" s="16"/>
      <c r="DDW165" s="16"/>
      <c r="DDX165" s="16"/>
      <c r="DDY165" s="16"/>
      <c r="DDZ165" s="16"/>
      <c r="DEA165" s="16"/>
      <c r="DEB165" s="16"/>
      <c r="DEC165" s="16"/>
      <c r="DED165" s="16"/>
      <c r="DEE165" s="16"/>
      <c r="DEF165" s="16"/>
      <c r="DEG165" s="16"/>
      <c r="DEH165" s="16"/>
      <c r="DEI165" s="16"/>
      <c r="DEJ165" s="16"/>
      <c r="DEK165" s="16"/>
      <c r="DEL165" s="16"/>
      <c r="DEM165" s="16"/>
      <c r="DEN165" s="16"/>
      <c r="DEO165" s="16"/>
      <c r="DEP165" s="16"/>
      <c r="DEQ165" s="16"/>
      <c r="DER165" s="16"/>
      <c r="DES165" s="16"/>
      <c r="DET165" s="16"/>
      <c r="DEU165" s="16"/>
      <c r="DEV165" s="16"/>
      <c r="DEW165" s="16"/>
      <c r="DEX165" s="16"/>
      <c r="DEY165" s="16"/>
      <c r="DEZ165" s="16"/>
      <c r="DFA165" s="16"/>
      <c r="DFB165" s="16"/>
      <c r="DFC165" s="16"/>
      <c r="DFD165" s="16"/>
      <c r="DFE165" s="16"/>
      <c r="DFF165" s="16"/>
      <c r="DFG165" s="16"/>
      <c r="DFH165" s="16"/>
      <c r="DFI165" s="16"/>
      <c r="DFJ165" s="16"/>
      <c r="DFK165" s="16"/>
      <c r="DFL165" s="16"/>
      <c r="DFM165" s="16"/>
      <c r="DFN165" s="16"/>
      <c r="DFO165" s="16"/>
      <c r="DFP165" s="16"/>
      <c r="DFQ165" s="16"/>
      <c r="DFR165" s="16"/>
      <c r="DFS165" s="16"/>
      <c r="DFT165" s="16"/>
      <c r="DFU165" s="16"/>
      <c r="DFV165" s="16"/>
      <c r="DFW165" s="16"/>
      <c r="DFX165" s="16"/>
      <c r="DFY165" s="16"/>
      <c r="DFZ165" s="16"/>
      <c r="DGA165" s="16"/>
      <c r="DGB165" s="16"/>
      <c r="DGC165" s="16"/>
      <c r="DGD165" s="16"/>
      <c r="DGE165" s="16"/>
      <c r="DGF165" s="16"/>
      <c r="DGG165" s="16"/>
      <c r="DGH165" s="16"/>
      <c r="DGI165" s="16"/>
      <c r="DGJ165" s="16"/>
      <c r="DGK165" s="16"/>
      <c r="DGL165" s="16"/>
      <c r="DGM165" s="16"/>
      <c r="DGN165" s="16"/>
      <c r="DGO165" s="16"/>
      <c r="DGP165" s="16"/>
      <c r="DGQ165" s="16"/>
      <c r="DGR165" s="16"/>
      <c r="DGS165" s="16"/>
      <c r="DGT165" s="16"/>
      <c r="DGU165" s="16"/>
      <c r="DGV165" s="16"/>
      <c r="DGW165" s="16"/>
      <c r="DGX165" s="16"/>
      <c r="DGY165" s="16"/>
      <c r="DGZ165" s="16"/>
      <c r="DHA165" s="16"/>
      <c r="DHB165" s="16"/>
      <c r="DHC165" s="16"/>
      <c r="DHD165" s="16"/>
      <c r="DHE165" s="16"/>
      <c r="DHF165" s="16"/>
      <c r="DHG165" s="16"/>
      <c r="DHH165" s="16"/>
      <c r="DHI165" s="16"/>
      <c r="DHJ165" s="16"/>
      <c r="DHK165" s="16"/>
      <c r="DHL165" s="16"/>
      <c r="DHM165" s="16"/>
      <c r="DHN165" s="16"/>
      <c r="DHO165" s="16"/>
      <c r="DHP165" s="16"/>
      <c r="DHQ165" s="16"/>
      <c r="DHR165" s="16"/>
      <c r="DHS165" s="16"/>
      <c r="DHT165" s="16"/>
      <c r="DHU165" s="16"/>
      <c r="DHV165" s="16"/>
      <c r="DHW165" s="16"/>
      <c r="DHX165" s="16"/>
      <c r="DHY165" s="16"/>
      <c r="DHZ165" s="16"/>
      <c r="DIA165" s="16"/>
      <c r="DIB165" s="16"/>
      <c r="DIC165" s="16"/>
      <c r="DID165" s="16"/>
      <c r="DIE165" s="16"/>
      <c r="DIF165" s="16"/>
      <c r="DIG165" s="16"/>
      <c r="DIH165" s="16"/>
      <c r="DII165" s="16"/>
      <c r="DIJ165" s="16"/>
      <c r="DIK165" s="16"/>
      <c r="DIL165" s="16"/>
      <c r="DIM165" s="16"/>
      <c r="DIN165" s="16"/>
      <c r="DIO165" s="16"/>
      <c r="DIP165" s="16"/>
      <c r="DIQ165" s="16"/>
      <c r="DIR165" s="16"/>
      <c r="DIS165" s="16"/>
      <c r="DIT165" s="16"/>
      <c r="DIU165" s="16"/>
      <c r="DIV165" s="16"/>
      <c r="DIW165" s="16"/>
      <c r="DIX165" s="16"/>
      <c r="DIY165" s="16"/>
      <c r="DIZ165" s="16"/>
      <c r="DJA165" s="16"/>
      <c r="DJB165" s="16"/>
      <c r="DJC165" s="16"/>
      <c r="DJD165" s="16"/>
      <c r="DJE165" s="16"/>
      <c r="DJF165" s="16"/>
      <c r="DJG165" s="16"/>
      <c r="DJH165" s="16"/>
      <c r="DJI165" s="16"/>
      <c r="DJJ165" s="16"/>
      <c r="DJK165" s="16"/>
      <c r="DJL165" s="16"/>
      <c r="DJM165" s="16"/>
      <c r="DJN165" s="16"/>
      <c r="DJO165" s="16"/>
      <c r="DJP165" s="16"/>
      <c r="DJQ165" s="16"/>
      <c r="DJR165" s="16"/>
      <c r="DJS165" s="16"/>
      <c r="DJT165" s="16"/>
      <c r="DJU165" s="16"/>
      <c r="DJV165" s="16"/>
      <c r="DJW165" s="16"/>
      <c r="DJX165" s="16"/>
      <c r="DJY165" s="16"/>
      <c r="DJZ165" s="16"/>
      <c r="DKA165" s="16"/>
      <c r="DKB165" s="16"/>
      <c r="DKC165" s="16"/>
      <c r="DKD165" s="16"/>
      <c r="DKE165" s="16"/>
      <c r="DKF165" s="16"/>
      <c r="DKG165" s="16"/>
      <c r="DKH165" s="16"/>
      <c r="DKI165" s="16"/>
      <c r="DKJ165" s="16"/>
      <c r="DKK165" s="16"/>
      <c r="DKL165" s="16"/>
      <c r="DKM165" s="16"/>
      <c r="DKN165" s="16"/>
      <c r="DKO165" s="16"/>
      <c r="DKP165" s="16"/>
      <c r="DKQ165" s="16"/>
      <c r="DKR165" s="16"/>
      <c r="DKS165" s="16"/>
      <c r="DKT165" s="16"/>
      <c r="DKU165" s="16"/>
      <c r="DKV165" s="16"/>
      <c r="DKW165" s="16"/>
      <c r="DKX165" s="16"/>
      <c r="DKY165" s="16"/>
      <c r="DKZ165" s="16"/>
      <c r="DLA165" s="16"/>
      <c r="DLB165" s="16"/>
      <c r="DLC165" s="16"/>
      <c r="DLD165" s="16"/>
      <c r="DLE165" s="16"/>
      <c r="DLF165" s="16"/>
      <c r="DLG165" s="16"/>
      <c r="DLH165" s="16"/>
      <c r="DLI165" s="16"/>
      <c r="DLJ165" s="16"/>
      <c r="DLK165" s="16"/>
      <c r="DLL165" s="16"/>
      <c r="DLM165" s="16"/>
      <c r="DLN165" s="16"/>
      <c r="DLO165" s="16"/>
      <c r="DLP165" s="16"/>
      <c r="DLQ165" s="16"/>
      <c r="DLR165" s="16"/>
      <c r="DLS165" s="16"/>
      <c r="DLT165" s="16"/>
      <c r="DLU165" s="16"/>
      <c r="DLV165" s="16"/>
      <c r="DLW165" s="16"/>
      <c r="DLX165" s="16"/>
      <c r="DLY165" s="16"/>
      <c r="DLZ165" s="16"/>
      <c r="DMA165" s="16"/>
      <c r="DMB165" s="16"/>
      <c r="DMC165" s="16"/>
      <c r="DMD165" s="16"/>
      <c r="DME165" s="16"/>
      <c r="DMF165" s="16"/>
      <c r="DMG165" s="16"/>
      <c r="DMH165" s="16"/>
      <c r="DMI165" s="16"/>
      <c r="DMJ165" s="16"/>
      <c r="DMK165" s="16"/>
      <c r="DML165" s="16"/>
      <c r="DMM165" s="16"/>
      <c r="DMN165" s="16"/>
      <c r="DMO165" s="16"/>
      <c r="DMP165" s="16"/>
      <c r="DMQ165" s="16"/>
      <c r="DMR165" s="16"/>
      <c r="DMS165" s="16"/>
      <c r="DMT165" s="16"/>
      <c r="DMU165" s="16"/>
      <c r="DMV165" s="16"/>
      <c r="DMW165" s="16"/>
      <c r="DMX165" s="16"/>
      <c r="DMY165" s="16"/>
      <c r="DMZ165" s="16"/>
      <c r="DNA165" s="16"/>
      <c r="DNB165" s="16"/>
      <c r="DNC165" s="16"/>
      <c r="DND165" s="16"/>
      <c r="DNE165" s="16"/>
      <c r="DNF165" s="16"/>
      <c r="DNG165" s="16"/>
      <c r="DNH165" s="16"/>
      <c r="DNI165" s="16"/>
      <c r="DNJ165" s="16"/>
      <c r="DNK165" s="16"/>
      <c r="DNL165" s="16"/>
      <c r="DNM165" s="16"/>
      <c r="DNN165" s="16"/>
      <c r="DNO165" s="16"/>
      <c r="DNP165" s="16"/>
      <c r="DNQ165" s="16"/>
      <c r="DNR165" s="16"/>
      <c r="DNS165" s="16"/>
      <c r="DNT165" s="16"/>
      <c r="DNU165" s="16"/>
      <c r="DNV165" s="16"/>
      <c r="DNW165" s="16"/>
      <c r="DNX165" s="16"/>
      <c r="DNY165" s="16"/>
      <c r="DNZ165" s="16"/>
      <c r="DOA165" s="16"/>
      <c r="DOB165" s="16"/>
      <c r="DOC165" s="16"/>
      <c r="DOD165" s="16"/>
      <c r="DOE165" s="16"/>
      <c r="DOF165" s="16"/>
      <c r="DOG165" s="16"/>
      <c r="DOH165" s="16"/>
      <c r="DOI165" s="16"/>
      <c r="DOJ165" s="16"/>
      <c r="DOK165" s="16"/>
      <c r="DOL165" s="16"/>
      <c r="DOM165" s="16"/>
      <c r="DON165" s="16"/>
      <c r="DOO165" s="16"/>
      <c r="DOP165" s="16"/>
      <c r="DOQ165" s="16"/>
      <c r="DOR165" s="16"/>
      <c r="DOS165" s="16"/>
      <c r="DOT165" s="16"/>
      <c r="DOU165" s="16"/>
      <c r="DOV165" s="16"/>
      <c r="DOW165" s="16"/>
      <c r="DOX165" s="16"/>
      <c r="DOY165" s="16"/>
      <c r="DOZ165" s="16"/>
      <c r="DPA165" s="16"/>
      <c r="DPB165" s="16"/>
      <c r="DPC165" s="16"/>
      <c r="DPD165" s="16"/>
      <c r="DPE165" s="16"/>
      <c r="DPF165" s="16"/>
      <c r="DPG165" s="16"/>
      <c r="DPH165" s="16"/>
      <c r="DPI165" s="16"/>
      <c r="DPJ165" s="16"/>
      <c r="DPK165" s="16"/>
      <c r="DPL165" s="16"/>
      <c r="DPM165" s="16"/>
      <c r="DPN165" s="16"/>
      <c r="DPO165" s="16"/>
      <c r="DPP165" s="16"/>
      <c r="DPQ165" s="16"/>
      <c r="DPR165" s="16"/>
      <c r="DPS165" s="16"/>
      <c r="DPT165" s="16"/>
      <c r="DPU165" s="16"/>
      <c r="DPV165" s="16"/>
      <c r="DPW165" s="16"/>
      <c r="DPX165" s="16"/>
      <c r="DPY165" s="16"/>
      <c r="DPZ165" s="16"/>
      <c r="DQA165" s="16"/>
      <c r="DQB165" s="16"/>
      <c r="DQC165" s="16"/>
      <c r="DQD165" s="16"/>
      <c r="DQE165" s="16"/>
      <c r="DQF165" s="16"/>
      <c r="DQG165" s="16"/>
      <c r="DQH165" s="16"/>
      <c r="DQI165" s="16"/>
      <c r="DQJ165" s="16"/>
      <c r="DQK165" s="16"/>
      <c r="DQL165" s="16"/>
      <c r="DQM165" s="16"/>
      <c r="DQN165" s="16"/>
      <c r="DQO165" s="16"/>
      <c r="DQP165" s="16"/>
      <c r="DQQ165" s="16"/>
      <c r="DQR165" s="16"/>
      <c r="DQS165" s="16"/>
      <c r="DQT165" s="16"/>
      <c r="DQU165" s="16"/>
      <c r="DQV165" s="16"/>
      <c r="DQW165" s="16"/>
      <c r="DQX165" s="16"/>
      <c r="DQY165" s="16"/>
      <c r="DQZ165" s="16"/>
      <c r="DRA165" s="16"/>
      <c r="DRB165" s="16"/>
      <c r="DRC165" s="16"/>
      <c r="DRD165" s="16"/>
      <c r="DRE165" s="16"/>
      <c r="DRF165" s="16"/>
      <c r="DRG165" s="16"/>
      <c r="DRH165" s="16"/>
      <c r="DRI165" s="16"/>
      <c r="DRJ165" s="16"/>
      <c r="DRK165" s="16"/>
      <c r="DRL165" s="16"/>
      <c r="DRM165" s="16"/>
      <c r="DRN165" s="16"/>
      <c r="DRO165" s="16"/>
      <c r="DRP165" s="16"/>
      <c r="DRQ165" s="16"/>
      <c r="DRR165" s="16"/>
      <c r="DRS165" s="16"/>
      <c r="DRT165" s="16"/>
      <c r="DRU165" s="16"/>
      <c r="DRV165" s="16"/>
      <c r="DRW165" s="16"/>
      <c r="DRX165" s="16"/>
      <c r="DRY165" s="16"/>
      <c r="DRZ165" s="16"/>
      <c r="DSA165" s="16"/>
      <c r="DSB165" s="16"/>
      <c r="DSC165" s="16"/>
      <c r="DSD165" s="16"/>
      <c r="DSE165" s="16"/>
      <c r="DSF165" s="16"/>
      <c r="DSG165" s="16"/>
      <c r="DSH165" s="16"/>
      <c r="DSI165" s="16"/>
      <c r="DSJ165" s="16"/>
      <c r="DSK165" s="16"/>
      <c r="DSL165" s="16"/>
      <c r="DSM165" s="16"/>
      <c r="DSN165" s="16"/>
      <c r="DSO165" s="16"/>
      <c r="DSP165" s="16"/>
      <c r="DSQ165" s="16"/>
      <c r="DSR165" s="16"/>
      <c r="DSS165" s="16"/>
      <c r="DST165" s="16"/>
      <c r="DSU165" s="16"/>
      <c r="DSV165" s="16"/>
      <c r="DSW165" s="16"/>
      <c r="DSX165" s="16"/>
      <c r="DSY165" s="16"/>
      <c r="DSZ165" s="16"/>
      <c r="DTA165" s="16"/>
      <c r="DTB165" s="16"/>
      <c r="DTC165" s="16"/>
      <c r="DTD165" s="16"/>
      <c r="DTE165" s="16"/>
      <c r="DTF165" s="16"/>
      <c r="DTG165" s="16"/>
      <c r="DTH165" s="16"/>
      <c r="DTI165" s="16"/>
      <c r="DTJ165" s="16"/>
      <c r="DTK165" s="16"/>
      <c r="DTL165" s="16"/>
      <c r="DTM165" s="16"/>
      <c r="DTN165" s="16"/>
      <c r="DTO165" s="16"/>
      <c r="DTP165" s="16"/>
      <c r="DTQ165" s="16"/>
      <c r="DTR165" s="16"/>
      <c r="DTS165" s="16"/>
      <c r="DTT165" s="16"/>
      <c r="DTU165" s="16"/>
      <c r="DTV165" s="16"/>
      <c r="DTW165" s="16"/>
      <c r="DTX165" s="16"/>
      <c r="DTY165" s="16"/>
      <c r="DTZ165" s="16"/>
      <c r="DUA165" s="16"/>
      <c r="DUB165" s="16"/>
      <c r="DUC165" s="16"/>
      <c r="DUD165" s="16"/>
      <c r="DUE165" s="16"/>
      <c r="DUF165" s="16"/>
      <c r="DUG165" s="16"/>
      <c r="DUH165" s="16"/>
      <c r="DUI165" s="16"/>
      <c r="DUJ165" s="16"/>
      <c r="DUK165" s="16"/>
      <c r="DUL165" s="16"/>
      <c r="DUM165" s="16"/>
      <c r="DUN165" s="16"/>
      <c r="DUO165" s="16"/>
      <c r="DUP165" s="16"/>
      <c r="DUQ165" s="16"/>
      <c r="DUR165" s="16"/>
      <c r="DUS165" s="16"/>
      <c r="DUT165" s="16"/>
      <c r="DUU165" s="16"/>
      <c r="DUV165" s="16"/>
      <c r="DUW165" s="16"/>
      <c r="DUX165" s="16"/>
      <c r="DUY165" s="16"/>
      <c r="DUZ165" s="16"/>
      <c r="DVA165" s="16"/>
      <c r="DVB165" s="16"/>
      <c r="DVC165" s="16"/>
      <c r="DVD165" s="16"/>
      <c r="DVE165" s="16"/>
      <c r="DVF165" s="16"/>
      <c r="DVG165" s="16"/>
      <c r="DVH165" s="16"/>
      <c r="DVI165" s="16"/>
      <c r="DVJ165" s="16"/>
      <c r="DVK165" s="16"/>
      <c r="DVL165" s="16"/>
      <c r="DVM165" s="16"/>
      <c r="DVN165" s="16"/>
      <c r="DVO165" s="16"/>
      <c r="DVP165" s="16"/>
      <c r="DVQ165" s="16"/>
      <c r="DVR165" s="16"/>
      <c r="DVS165" s="16"/>
      <c r="DVT165" s="16"/>
      <c r="DVU165" s="16"/>
      <c r="DVV165" s="16"/>
      <c r="DVW165" s="16"/>
      <c r="DVX165" s="16"/>
      <c r="DVY165" s="16"/>
      <c r="DVZ165" s="16"/>
      <c r="DWA165" s="16"/>
      <c r="DWB165" s="16"/>
      <c r="DWC165" s="16"/>
      <c r="DWD165" s="16"/>
      <c r="DWE165" s="16"/>
      <c r="DWF165" s="16"/>
      <c r="DWG165" s="16"/>
      <c r="DWH165" s="16"/>
      <c r="DWI165" s="16"/>
      <c r="DWJ165" s="16"/>
      <c r="DWK165" s="16"/>
      <c r="DWL165" s="16"/>
      <c r="DWM165" s="16"/>
      <c r="DWN165" s="16"/>
      <c r="DWO165" s="16"/>
      <c r="DWP165" s="16"/>
      <c r="DWQ165" s="16"/>
      <c r="DWR165" s="16"/>
      <c r="DWS165" s="16"/>
      <c r="DWT165" s="16"/>
      <c r="DWU165" s="16"/>
      <c r="DWV165" s="16"/>
      <c r="DWW165" s="16"/>
      <c r="DWX165" s="16"/>
      <c r="DWY165" s="16"/>
      <c r="DWZ165" s="16"/>
      <c r="DXA165" s="16"/>
      <c r="DXB165" s="16"/>
      <c r="DXC165" s="16"/>
    </row>
    <row r="166" spans="1:3331" s="28" customFormat="1" x14ac:dyDescent="0.2">
      <c r="A166" s="14">
        <v>158</v>
      </c>
      <c r="B166" s="28" t="s">
        <v>311</v>
      </c>
      <c r="C166" s="14" t="s">
        <v>783</v>
      </c>
      <c r="F166" s="83" t="s">
        <v>939</v>
      </c>
      <c r="G166" s="83" t="s">
        <v>657</v>
      </c>
      <c r="H166" s="83">
        <v>1</v>
      </c>
      <c r="I166" s="83">
        <v>99481.188181818186</v>
      </c>
      <c r="J166" s="96"/>
      <c r="K166" s="96"/>
      <c r="L166" s="96"/>
      <c r="M166" s="96"/>
      <c r="N166" s="83"/>
      <c r="O166" s="83"/>
      <c r="P166" s="83"/>
      <c r="Q166" s="83"/>
      <c r="R166" s="96"/>
      <c r="S166" s="96"/>
      <c r="T166" s="96"/>
      <c r="U166" s="96"/>
      <c r="V166" s="83"/>
      <c r="W166" s="83"/>
      <c r="X166" s="83"/>
      <c r="Y166" s="83"/>
      <c r="Z166" s="96"/>
      <c r="AA166" s="96"/>
      <c r="AB166" s="96"/>
      <c r="AC166" s="96"/>
      <c r="AD166" s="83"/>
      <c r="AE166" s="83"/>
      <c r="AF166" s="83"/>
      <c r="AG166" s="83"/>
      <c r="AH166" s="96"/>
      <c r="AI166" s="96"/>
      <c r="AJ166" s="96"/>
      <c r="AK166" s="96"/>
      <c r="AL166" s="83"/>
      <c r="AM166" s="83"/>
      <c r="AN166" s="83"/>
      <c r="AO166" s="83"/>
      <c r="AP166" s="96"/>
      <c r="AQ166" s="96"/>
      <c r="AR166" s="96"/>
      <c r="AS166" s="96"/>
      <c r="AT166" s="83"/>
      <c r="AU166" s="83"/>
      <c r="AV166" s="83"/>
      <c r="AW166" s="83"/>
      <c r="AX166" s="96"/>
      <c r="AY166" s="96"/>
      <c r="AZ166" s="96"/>
      <c r="BA166" s="96"/>
      <c r="BB166" s="83"/>
      <c r="BC166" s="83"/>
      <c r="BD166" s="83"/>
      <c r="BE166" s="83"/>
      <c r="BF166" s="96"/>
      <c r="BG166" s="96"/>
      <c r="BH166" s="96"/>
      <c r="BI166" s="96"/>
      <c r="BJ166" s="83"/>
      <c r="BK166" s="83"/>
      <c r="BL166" s="83"/>
      <c r="BM166" s="83"/>
      <c r="BN166" s="96"/>
      <c r="BO166" s="96"/>
      <c r="BP166" s="96"/>
      <c r="BQ166" s="96"/>
      <c r="BR166" s="83"/>
      <c r="BS166" s="83"/>
      <c r="BT166" s="83"/>
      <c r="BU166" s="83"/>
      <c r="BV166" s="96"/>
      <c r="BW166" s="96"/>
      <c r="BX166" s="96"/>
      <c r="BY166" s="96"/>
      <c r="BZ166" s="83"/>
      <c r="CA166" s="83"/>
      <c r="CB166" s="83"/>
      <c r="CC166" s="83"/>
      <c r="CD166" s="96"/>
      <c r="CE166" s="96"/>
      <c r="CF166" s="96"/>
      <c r="CG166" s="96"/>
      <c r="CH166" s="83"/>
      <c r="CI166" s="83"/>
      <c r="CJ166" s="83"/>
      <c r="CK166" s="83"/>
      <c r="CL166" s="96"/>
      <c r="CM166" s="96"/>
      <c r="CN166" s="96"/>
      <c r="CO166" s="96"/>
      <c r="CP166" s="83"/>
      <c r="CQ166" s="83"/>
      <c r="CR166" s="83"/>
      <c r="CS166" s="83"/>
      <c r="CT166" s="96"/>
      <c r="CU166" s="96"/>
      <c r="CV166" s="96"/>
      <c r="CW166" s="96"/>
      <c r="CX166" s="83"/>
      <c r="CY166" s="83"/>
      <c r="CZ166" s="83"/>
      <c r="DA166" s="83"/>
      <c r="DB166" s="96">
        <v>99481.188181818186</v>
      </c>
      <c r="DC166" s="83">
        <v>99481.188181818186</v>
      </c>
      <c r="DD166" s="96"/>
      <c r="DE166" s="104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  <c r="EF166" s="16"/>
      <c r="EG166" s="16"/>
      <c r="EH166" s="16"/>
      <c r="EI166" s="16"/>
      <c r="EJ166" s="16"/>
      <c r="EK166" s="16"/>
      <c r="EL166" s="16"/>
      <c r="EM166" s="16"/>
      <c r="EN166" s="16"/>
      <c r="EO166" s="16"/>
      <c r="EP166" s="16"/>
      <c r="EQ166" s="16"/>
      <c r="ER166" s="16"/>
      <c r="ES166" s="16"/>
      <c r="ET166" s="16"/>
      <c r="EU166" s="16"/>
      <c r="EV166" s="16"/>
      <c r="EW166" s="16"/>
      <c r="EX166" s="16"/>
      <c r="EY166" s="16"/>
      <c r="EZ166" s="16"/>
      <c r="FA166" s="16"/>
      <c r="FB166" s="16"/>
      <c r="FC166" s="16"/>
      <c r="FD166" s="16"/>
      <c r="FE166" s="16"/>
      <c r="FF166" s="16"/>
      <c r="FG166" s="16"/>
      <c r="FH166" s="16"/>
      <c r="FI166" s="16"/>
      <c r="FJ166" s="16"/>
      <c r="FK166" s="16"/>
      <c r="FL166" s="16"/>
      <c r="FM166" s="16"/>
      <c r="FN166" s="16"/>
      <c r="FO166" s="16"/>
      <c r="FP166" s="16"/>
      <c r="FQ166" s="16"/>
      <c r="FR166" s="16"/>
      <c r="FS166" s="16"/>
      <c r="FT166" s="16"/>
      <c r="FU166" s="16"/>
      <c r="FV166" s="16"/>
      <c r="FW166" s="16"/>
      <c r="FX166" s="16"/>
      <c r="FY166" s="16"/>
      <c r="FZ166" s="16"/>
      <c r="GA166" s="16"/>
      <c r="GB166" s="16"/>
      <c r="GC166" s="16"/>
      <c r="GD166" s="16"/>
      <c r="GE166" s="16"/>
      <c r="GF166" s="16"/>
      <c r="GG166" s="16"/>
      <c r="GH166" s="16"/>
      <c r="GI166" s="16"/>
      <c r="GJ166" s="16"/>
      <c r="GK166" s="16"/>
      <c r="GL166" s="16"/>
      <c r="GM166" s="16"/>
      <c r="GN166" s="16"/>
      <c r="GO166" s="16"/>
      <c r="GP166" s="16"/>
      <c r="GQ166" s="16"/>
      <c r="GR166" s="16"/>
      <c r="GS166" s="16"/>
      <c r="GT166" s="16"/>
      <c r="GU166" s="16"/>
      <c r="GV166" s="16"/>
      <c r="GW166" s="16"/>
      <c r="GX166" s="16"/>
      <c r="GY166" s="16"/>
      <c r="GZ166" s="16"/>
      <c r="HA166" s="16"/>
      <c r="HB166" s="16"/>
      <c r="HC166" s="16"/>
      <c r="HD166" s="16"/>
      <c r="HE166" s="16"/>
      <c r="HF166" s="16"/>
      <c r="HG166" s="16"/>
      <c r="HH166" s="16"/>
      <c r="HI166" s="16"/>
      <c r="HJ166" s="16"/>
      <c r="HK166" s="16"/>
      <c r="HL166" s="16"/>
      <c r="HM166" s="16"/>
      <c r="HN166" s="16"/>
      <c r="HO166" s="16"/>
      <c r="HP166" s="16"/>
      <c r="HQ166" s="16"/>
      <c r="HR166" s="16"/>
      <c r="HS166" s="16"/>
      <c r="HT166" s="16"/>
      <c r="HU166" s="16"/>
      <c r="HV166" s="16"/>
      <c r="HW166" s="16"/>
      <c r="HX166" s="16"/>
      <c r="HY166" s="16"/>
      <c r="HZ166" s="16"/>
      <c r="IA166" s="16"/>
      <c r="IB166" s="16"/>
      <c r="IC166" s="16"/>
      <c r="ID166" s="16"/>
      <c r="IE166" s="16"/>
      <c r="IF166" s="16"/>
      <c r="IG166" s="16"/>
      <c r="IH166" s="16"/>
      <c r="II166" s="16"/>
      <c r="IJ166" s="16"/>
      <c r="IK166" s="16"/>
      <c r="IL166" s="16"/>
      <c r="IM166" s="16"/>
      <c r="IN166" s="16"/>
      <c r="IO166" s="16"/>
      <c r="IP166" s="16"/>
      <c r="IQ166" s="16"/>
      <c r="IR166" s="16"/>
      <c r="IS166" s="16"/>
      <c r="IT166" s="16"/>
      <c r="IU166" s="16"/>
      <c r="IV166" s="16"/>
      <c r="IW166" s="16"/>
      <c r="IX166" s="16"/>
      <c r="IY166" s="16"/>
      <c r="IZ166" s="16"/>
      <c r="JA166" s="16"/>
      <c r="JB166" s="16"/>
      <c r="JC166" s="16"/>
      <c r="JD166" s="16"/>
      <c r="JE166" s="16"/>
      <c r="JF166" s="16"/>
      <c r="JG166" s="16"/>
      <c r="JH166" s="16"/>
      <c r="JI166" s="16"/>
      <c r="JJ166" s="16"/>
      <c r="JK166" s="16"/>
      <c r="JL166" s="16"/>
      <c r="JM166" s="16"/>
      <c r="JN166" s="16"/>
      <c r="JO166" s="16"/>
      <c r="JP166" s="16"/>
      <c r="JQ166" s="16"/>
      <c r="JR166" s="16"/>
      <c r="JS166" s="16"/>
      <c r="JT166" s="16"/>
      <c r="JU166" s="16"/>
      <c r="JV166" s="16"/>
      <c r="JW166" s="16"/>
      <c r="JX166" s="16"/>
      <c r="JY166" s="16"/>
      <c r="JZ166" s="16"/>
      <c r="KA166" s="16"/>
      <c r="KB166" s="16"/>
      <c r="KC166" s="16"/>
      <c r="KD166" s="16"/>
      <c r="KE166" s="16"/>
      <c r="KF166" s="16"/>
      <c r="KG166" s="16"/>
      <c r="KH166" s="16"/>
      <c r="KI166" s="16"/>
      <c r="KJ166" s="16"/>
      <c r="KK166" s="16"/>
      <c r="KL166" s="16"/>
      <c r="KM166" s="16"/>
      <c r="KN166" s="16"/>
      <c r="KO166" s="16"/>
      <c r="KP166" s="16"/>
      <c r="KQ166" s="16"/>
      <c r="KR166" s="16"/>
      <c r="KS166" s="16"/>
      <c r="KT166" s="16"/>
      <c r="KU166" s="16"/>
      <c r="KV166" s="16"/>
      <c r="KW166" s="16"/>
      <c r="KX166" s="16"/>
      <c r="KY166" s="16"/>
      <c r="KZ166" s="16"/>
      <c r="LA166" s="16"/>
      <c r="LB166" s="16"/>
      <c r="LC166" s="16"/>
      <c r="LD166" s="16"/>
      <c r="LE166" s="16"/>
      <c r="LF166" s="16"/>
      <c r="LG166" s="16"/>
      <c r="LH166" s="16"/>
      <c r="LI166" s="16"/>
      <c r="LJ166" s="16"/>
      <c r="LK166" s="16"/>
      <c r="LL166" s="16"/>
      <c r="LM166" s="16"/>
      <c r="LN166" s="16"/>
      <c r="LO166" s="16"/>
      <c r="LP166" s="16"/>
      <c r="LQ166" s="16"/>
      <c r="LR166" s="16"/>
      <c r="LS166" s="16"/>
      <c r="LT166" s="16"/>
      <c r="LU166" s="16"/>
      <c r="LV166" s="16"/>
      <c r="LW166" s="16"/>
      <c r="LX166" s="16"/>
      <c r="LY166" s="16"/>
      <c r="LZ166" s="16"/>
      <c r="MA166" s="16"/>
      <c r="MB166" s="16"/>
      <c r="MC166" s="16"/>
      <c r="MD166" s="16"/>
      <c r="ME166" s="16"/>
      <c r="MF166" s="16"/>
      <c r="MG166" s="16"/>
      <c r="MH166" s="16"/>
      <c r="MI166" s="16"/>
      <c r="MJ166" s="16"/>
      <c r="MK166" s="16"/>
      <c r="ML166" s="16"/>
      <c r="MM166" s="16"/>
      <c r="MN166" s="16"/>
      <c r="MO166" s="16"/>
      <c r="MP166" s="16"/>
      <c r="MQ166" s="16"/>
      <c r="MR166" s="16"/>
      <c r="MS166" s="16"/>
      <c r="MT166" s="16"/>
      <c r="MU166" s="16"/>
      <c r="MV166" s="16"/>
      <c r="MW166" s="16"/>
      <c r="MX166" s="16"/>
      <c r="MY166" s="16"/>
      <c r="MZ166" s="16"/>
      <c r="NA166" s="16"/>
      <c r="NB166" s="16"/>
      <c r="NC166" s="16"/>
      <c r="ND166" s="16"/>
      <c r="NE166" s="16"/>
      <c r="NF166" s="16"/>
      <c r="NG166" s="16"/>
      <c r="NH166" s="16"/>
      <c r="NI166" s="16"/>
      <c r="NJ166" s="16"/>
      <c r="NK166" s="16"/>
      <c r="NL166" s="16"/>
      <c r="NM166" s="16"/>
      <c r="NN166" s="16"/>
      <c r="NO166" s="16"/>
      <c r="NP166" s="16"/>
      <c r="NQ166" s="16"/>
      <c r="NR166" s="16"/>
      <c r="NS166" s="16"/>
      <c r="NT166" s="16"/>
      <c r="NU166" s="16"/>
      <c r="NV166" s="16"/>
      <c r="NW166" s="16"/>
      <c r="NX166" s="16"/>
      <c r="NY166" s="16"/>
      <c r="NZ166" s="16"/>
      <c r="OA166" s="16"/>
      <c r="OB166" s="16"/>
      <c r="OC166" s="16"/>
      <c r="OD166" s="16"/>
      <c r="OE166" s="16"/>
      <c r="OF166" s="16"/>
      <c r="OG166" s="16"/>
      <c r="OH166" s="16"/>
      <c r="OI166" s="16"/>
      <c r="OJ166" s="16"/>
      <c r="OK166" s="16"/>
      <c r="OL166" s="16"/>
      <c r="OM166" s="16"/>
      <c r="ON166" s="16"/>
      <c r="OO166" s="16"/>
      <c r="OP166" s="16"/>
      <c r="OQ166" s="16"/>
      <c r="OR166" s="16"/>
      <c r="OS166" s="16"/>
      <c r="OT166" s="16"/>
      <c r="OU166" s="16"/>
      <c r="OV166" s="16"/>
      <c r="OW166" s="16"/>
      <c r="OX166" s="16"/>
      <c r="OY166" s="16"/>
      <c r="OZ166" s="16"/>
      <c r="PA166" s="16"/>
      <c r="PB166" s="16"/>
      <c r="PC166" s="16"/>
      <c r="PD166" s="16"/>
      <c r="PE166" s="16"/>
      <c r="PF166" s="16"/>
      <c r="PG166" s="16"/>
      <c r="PH166" s="16"/>
      <c r="PI166" s="16"/>
      <c r="PJ166" s="16"/>
      <c r="PK166" s="16"/>
      <c r="PL166" s="16"/>
      <c r="PM166" s="16"/>
      <c r="PN166" s="16"/>
      <c r="PO166" s="16"/>
      <c r="PP166" s="16"/>
      <c r="PQ166" s="16"/>
      <c r="PR166" s="16"/>
      <c r="PS166" s="16"/>
      <c r="PT166" s="16"/>
      <c r="PU166" s="16"/>
      <c r="PV166" s="16"/>
      <c r="PW166" s="16"/>
      <c r="PX166" s="16"/>
      <c r="PY166" s="16"/>
      <c r="PZ166" s="16"/>
      <c r="QA166" s="16"/>
      <c r="QB166" s="16"/>
      <c r="QC166" s="16"/>
      <c r="QD166" s="16"/>
      <c r="QE166" s="16"/>
      <c r="QF166" s="16"/>
      <c r="QG166" s="16"/>
      <c r="QH166" s="16"/>
      <c r="QI166" s="16"/>
      <c r="QJ166" s="16"/>
      <c r="QK166" s="16"/>
      <c r="QL166" s="16"/>
      <c r="QM166" s="16"/>
      <c r="QN166" s="16"/>
      <c r="QO166" s="16"/>
      <c r="QP166" s="16"/>
      <c r="QQ166" s="16"/>
      <c r="QR166" s="16"/>
      <c r="QS166" s="16"/>
      <c r="QT166" s="16"/>
      <c r="QU166" s="16"/>
      <c r="QV166" s="16"/>
      <c r="QW166" s="16"/>
      <c r="QX166" s="16"/>
      <c r="QY166" s="16"/>
      <c r="QZ166" s="16"/>
      <c r="RA166" s="16"/>
      <c r="RB166" s="16"/>
      <c r="RC166" s="16"/>
      <c r="RD166" s="16"/>
      <c r="RE166" s="16"/>
      <c r="RF166" s="16"/>
      <c r="RG166" s="16"/>
      <c r="RH166" s="16"/>
      <c r="RI166" s="16"/>
      <c r="RJ166" s="16"/>
      <c r="RK166" s="16"/>
      <c r="RL166" s="16"/>
      <c r="RM166" s="16"/>
      <c r="RN166" s="16"/>
      <c r="RO166" s="16"/>
      <c r="RP166" s="16"/>
      <c r="RQ166" s="16"/>
      <c r="RR166" s="16"/>
      <c r="RS166" s="16"/>
      <c r="RT166" s="16"/>
      <c r="RU166" s="16"/>
      <c r="RV166" s="16"/>
      <c r="RW166" s="16"/>
      <c r="RX166" s="16"/>
      <c r="RY166" s="16"/>
      <c r="RZ166" s="16"/>
      <c r="SA166" s="16"/>
      <c r="SB166" s="16"/>
      <c r="SC166" s="16"/>
      <c r="SD166" s="16"/>
      <c r="SE166" s="16"/>
      <c r="SF166" s="16"/>
      <c r="SG166" s="16"/>
      <c r="SH166" s="16"/>
      <c r="SI166" s="16"/>
      <c r="SJ166" s="16"/>
      <c r="SK166" s="16"/>
      <c r="SL166" s="16"/>
      <c r="SM166" s="16"/>
      <c r="SN166" s="16"/>
      <c r="SO166" s="16"/>
      <c r="SP166" s="16"/>
      <c r="SQ166" s="16"/>
      <c r="SR166" s="16"/>
      <c r="SS166" s="16"/>
      <c r="ST166" s="16"/>
      <c r="SU166" s="16"/>
      <c r="SV166" s="16"/>
      <c r="SW166" s="16"/>
      <c r="SX166" s="16"/>
      <c r="SY166" s="16"/>
      <c r="SZ166" s="16"/>
      <c r="TA166" s="16"/>
      <c r="TB166" s="16"/>
      <c r="TC166" s="16"/>
      <c r="TD166" s="16"/>
      <c r="TE166" s="16"/>
      <c r="TF166" s="16"/>
      <c r="TG166" s="16"/>
      <c r="TH166" s="16"/>
      <c r="TI166" s="16"/>
      <c r="TJ166" s="16"/>
      <c r="TK166" s="16"/>
      <c r="TL166" s="16"/>
      <c r="TM166" s="16"/>
      <c r="TN166" s="16"/>
      <c r="TO166" s="16"/>
      <c r="TP166" s="16"/>
      <c r="TQ166" s="16"/>
      <c r="TR166" s="16"/>
      <c r="TS166" s="16"/>
      <c r="TT166" s="16"/>
      <c r="TU166" s="16"/>
      <c r="TV166" s="16"/>
      <c r="TW166" s="16"/>
      <c r="TX166" s="16"/>
      <c r="TY166" s="16"/>
      <c r="TZ166" s="16"/>
      <c r="UA166" s="16"/>
      <c r="UB166" s="16"/>
      <c r="UC166" s="16"/>
      <c r="UD166" s="16"/>
      <c r="UE166" s="16"/>
      <c r="UF166" s="16"/>
      <c r="UG166" s="16"/>
      <c r="UH166" s="16"/>
      <c r="UI166" s="16"/>
      <c r="UJ166" s="16"/>
      <c r="UK166" s="16"/>
      <c r="UL166" s="16"/>
      <c r="UM166" s="16"/>
      <c r="UN166" s="16"/>
      <c r="UO166" s="16"/>
      <c r="UP166" s="16"/>
      <c r="UQ166" s="16"/>
      <c r="UR166" s="16"/>
      <c r="US166" s="16"/>
      <c r="UT166" s="16"/>
      <c r="UU166" s="16"/>
      <c r="UV166" s="16"/>
      <c r="UW166" s="16"/>
      <c r="UX166" s="16"/>
      <c r="UY166" s="16"/>
      <c r="UZ166" s="16"/>
      <c r="VA166" s="16"/>
      <c r="VB166" s="16"/>
      <c r="VC166" s="16"/>
      <c r="VD166" s="16"/>
      <c r="VE166" s="16"/>
      <c r="VF166" s="16"/>
      <c r="VG166" s="16"/>
      <c r="VH166" s="16"/>
      <c r="VI166" s="16"/>
      <c r="VJ166" s="16"/>
      <c r="VK166" s="16"/>
      <c r="VL166" s="16"/>
      <c r="VM166" s="16"/>
      <c r="VN166" s="16"/>
      <c r="VO166" s="16"/>
      <c r="VP166" s="16"/>
      <c r="VQ166" s="16"/>
      <c r="VR166" s="16"/>
      <c r="VS166" s="16"/>
      <c r="VT166" s="16"/>
      <c r="VU166" s="16"/>
      <c r="VV166" s="16"/>
      <c r="VW166" s="16"/>
      <c r="VX166" s="16"/>
      <c r="VY166" s="16"/>
      <c r="VZ166" s="16"/>
      <c r="WA166" s="16"/>
      <c r="WB166" s="16"/>
      <c r="WC166" s="16"/>
      <c r="WD166" s="16"/>
      <c r="WE166" s="16"/>
      <c r="WF166" s="16"/>
      <c r="WG166" s="16"/>
      <c r="WH166" s="16"/>
      <c r="WI166" s="16"/>
      <c r="WJ166" s="16"/>
      <c r="WK166" s="16"/>
      <c r="WL166" s="16"/>
      <c r="WM166" s="16"/>
      <c r="WN166" s="16"/>
      <c r="WO166" s="16"/>
      <c r="WP166" s="16"/>
      <c r="WQ166" s="16"/>
      <c r="WR166" s="16"/>
      <c r="WS166" s="16"/>
      <c r="WT166" s="16"/>
      <c r="WU166" s="16"/>
      <c r="WV166" s="16"/>
      <c r="WW166" s="16"/>
      <c r="WX166" s="16"/>
      <c r="WY166" s="16"/>
      <c r="WZ166" s="16"/>
      <c r="XA166" s="16"/>
      <c r="XB166" s="16"/>
      <c r="XC166" s="16"/>
      <c r="XD166" s="16"/>
      <c r="XE166" s="16"/>
      <c r="XF166" s="16"/>
      <c r="XG166" s="16"/>
      <c r="XH166" s="16"/>
      <c r="XI166" s="16"/>
      <c r="XJ166" s="16"/>
      <c r="XK166" s="16"/>
      <c r="XL166" s="16"/>
      <c r="XM166" s="16"/>
      <c r="XN166" s="16"/>
      <c r="XO166" s="16"/>
      <c r="XP166" s="16"/>
      <c r="XQ166" s="16"/>
      <c r="XR166" s="16"/>
      <c r="XS166" s="16"/>
      <c r="XT166" s="16"/>
      <c r="XU166" s="16"/>
      <c r="XV166" s="16"/>
      <c r="XW166" s="16"/>
      <c r="XX166" s="16"/>
      <c r="XY166" s="16"/>
      <c r="XZ166" s="16"/>
      <c r="YA166" s="16"/>
      <c r="YB166" s="16"/>
      <c r="YC166" s="16"/>
      <c r="YD166" s="16"/>
      <c r="YE166" s="16"/>
      <c r="YF166" s="16"/>
      <c r="YG166" s="16"/>
      <c r="YH166" s="16"/>
      <c r="YI166" s="16"/>
      <c r="YJ166" s="16"/>
      <c r="YK166" s="16"/>
      <c r="YL166" s="16"/>
      <c r="YM166" s="16"/>
      <c r="YN166" s="16"/>
      <c r="YO166" s="16"/>
      <c r="YP166" s="16"/>
      <c r="YQ166" s="16"/>
      <c r="YR166" s="16"/>
      <c r="YS166" s="16"/>
      <c r="YT166" s="16"/>
      <c r="YU166" s="16"/>
      <c r="YV166" s="16"/>
      <c r="YW166" s="16"/>
      <c r="YX166" s="16"/>
      <c r="YY166" s="16"/>
      <c r="YZ166" s="16"/>
      <c r="ZA166" s="16"/>
      <c r="ZB166" s="16"/>
      <c r="ZC166" s="16"/>
      <c r="ZD166" s="16"/>
      <c r="ZE166" s="16"/>
      <c r="ZF166" s="16"/>
      <c r="ZG166" s="16"/>
      <c r="ZH166" s="16"/>
      <c r="ZI166" s="16"/>
      <c r="ZJ166" s="16"/>
      <c r="ZK166" s="16"/>
      <c r="ZL166" s="16"/>
      <c r="ZM166" s="16"/>
      <c r="ZN166" s="16"/>
      <c r="ZO166" s="16"/>
      <c r="ZP166" s="16"/>
      <c r="ZQ166" s="16"/>
      <c r="ZR166" s="16"/>
      <c r="ZS166" s="16"/>
      <c r="ZT166" s="16"/>
      <c r="ZU166" s="16"/>
      <c r="ZV166" s="16"/>
      <c r="ZW166" s="16"/>
      <c r="ZX166" s="16"/>
      <c r="ZY166" s="16"/>
      <c r="ZZ166" s="16"/>
      <c r="AAA166" s="16"/>
      <c r="AAB166" s="16"/>
      <c r="AAC166" s="16"/>
      <c r="AAD166" s="16"/>
      <c r="AAE166" s="16"/>
      <c r="AAF166" s="16"/>
      <c r="AAG166" s="16"/>
      <c r="AAH166" s="16"/>
      <c r="AAI166" s="16"/>
      <c r="AAJ166" s="16"/>
      <c r="AAK166" s="16"/>
      <c r="AAL166" s="16"/>
      <c r="AAM166" s="16"/>
      <c r="AAN166" s="16"/>
      <c r="AAO166" s="16"/>
      <c r="AAP166" s="16"/>
      <c r="AAQ166" s="16"/>
      <c r="AAR166" s="16"/>
      <c r="AAS166" s="16"/>
      <c r="AAT166" s="16"/>
      <c r="AAU166" s="16"/>
      <c r="AAV166" s="16"/>
      <c r="AAW166" s="16"/>
      <c r="AAX166" s="16"/>
      <c r="AAY166" s="16"/>
      <c r="AAZ166" s="16"/>
      <c r="ABA166" s="16"/>
      <c r="ABB166" s="16"/>
      <c r="ABC166" s="16"/>
      <c r="ABD166" s="16"/>
      <c r="ABE166" s="16"/>
      <c r="ABF166" s="16"/>
      <c r="ABG166" s="16"/>
      <c r="ABH166" s="16"/>
      <c r="ABI166" s="16"/>
      <c r="ABJ166" s="16"/>
      <c r="ABK166" s="16"/>
      <c r="ABL166" s="16"/>
      <c r="ABM166" s="16"/>
      <c r="ABN166" s="16"/>
      <c r="ABO166" s="16"/>
      <c r="ABP166" s="16"/>
      <c r="ABQ166" s="16"/>
      <c r="ABR166" s="16"/>
      <c r="ABS166" s="16"/>
      <c r="ABT166" s="16"/>
      <c r="ABU166" s="16"/>
      <c r="ABV166" s="16"/>
      <c r="ABW166" s="16"/>
      <c r="ABX166" s="16"/>
      <c r="ABY166" s="16"/>
      <c r="ABZ166" s="16"/>
      <c r="ACA166" s="16"/>
      <c r="ACB166" s="16"/>
      <c r="ACC166" s="16"/>
      <c r="ACD166" s="16"/>
      <c r="ACE166" s="16"/>
      <c r="ACF166" s="16"/>
      <c r="ACG166" s="16"/>
      <c r="ACH166" s="16"/>
      <c r="ACI166" s="16"/>
      <c r="ACJ166" s="16"/>
      <c r="ACK166" s="16"/>
      <c r="ACL166" s="16"/>
      <c r="ACM166" s="16"/>
      <c r="ACN166" s="16"/>
      <c r="ACO166" s="16"/>
      <c r="ACP166" s="16"/>
      <c r="ACQ166" s="16"/>
      <c r="ACR166" s="16"/>
      <c r="ACS166" s="16"/>
      <c r="ACT166" s="16"/>
      <c r="ACU166" s="16"/>
      <c r="ACV166" s="16"/>
      <c r="ACW166" s="16"/>
      <c r="ACX166" s="16"/>
      <c r="ACY166" s="16"/>
      <c r="ACZ166" s="16"/>
      <c r="ADA166" s="16"/>
      <c r="ADB166" s="16"/>
      <c r="ADC166" s="16"/>
      <c r="ADD166" s="16"/>
      <c r="ADE166" s="16"/>
      <c r="ADF166" s="16"/>
      <c r="ADG166" s="16"/>
      <c r="ADH166" s="16"/>
      <c r="ADI166" s="16"/>
      <c r="ADJ166" s="16"/>
      <c r="ADK166" s="16"/>
      <c r="ADL166" s="16"/>
      <c r="ADM166" s="16"/>
      <c r="ADN166" s="16"/>
      <c r="ADO166" s="16"/>
      <c r="ADP166" s="16"/>
      <c r="ADQ166" s="16"/>
      <c r="ADR166" s="16"/>
      <c r="ADS166" s="16"/>
      <c r="ADT166" s="16"/>
      <c r="ADU166" s="16"/>
      <c r="ADV166" s="16"/>
      <c r="ADW166" s="16"/>
      <c r="ADX166" s="16"/>
      <c r="ADY166" s="16"/>
      <c r="ADZ166" s="16"/>
      <c r="AEA166" s="16"/>
      <c r="AEB166" s="16"/>
      <c r="AEC166" s="16"/>
      <c r="AED166" s="16"/>
      <c r="AEE166" s="16"/>
      <c r="AEF166" s="16"/>
      <c r="AEG166" s="16"/>
      <c r="AEH166" s="16"/>
      <c r="AEI166" s="16"/>
      <c r="AEJ166" s="16"/>
      <c r="AEK166" s="16"/>
      <c r="AEL166" s="16"/>
      <c r="AEM166" s="16"/>
      <c r="AEN166" s="16"/>
      <c r="AEO166" s="16"/>
      <c r="AEP166" s="16"/>
      <c r="AEQ166" s="16"/>
      <c r="AER166" s="16"/>
      <c r="AES166" s="16"/>
      <c r="AET166" s="16"/>
      <c r="AEU166" s="16"/>
      <c r="AEV166" s="16"/>
      <c r="AEW166" s="16"/>
      <c r="AEX166" s="16"/>
      <c r="AEY166" s="16"/>
      <c r="AEZ166" s="16"/>
      <c r="AFA166" s="16"/>
      <c r="AFB166" s="16"/>
      <c r="AFC166" s="16"/>
      <c r="AFD166" s="16"/>
      <c r="AFE166" s="16"/>
      <c r="AFF166" s="16"/>
      <c r="AFG166" s="16"/>
      <c r="AFH166" s="16"/>
      <c r="AFI166" s="16"/>
      <c r="AFJ166" s="16"/>
      <c r="AFK166" s="16"/>
      <c r="AFL166" s="16"/>
      <c r="AFM166" s="16"/>
      <c r="AFN166" s="16"/>
      <c r="AFO166" s="16"/>
      <c r="AFP166" s="16"/>
      <c r="AFQ166" s="16"/>
      <c r="AFR166" s="16"/>
      <c r="AFS166" s="16"/>
      <c r="AFT166" s="16"/>
      <c r="AFU166" s="16"/>
      <c r="AFV166" s="16"/>
      <c r="AFW166" s="16"/>
      <c r="AFX166" s="16"/>
      <c r="AFY166" s="16"/>
      <c r="AFZ166" s="16"/>
      <c r="AGA166" s="16"/>
      <c r="AGB166" s="16"/>
      <c r="AGC166" s="16"/>
      <c r="AGD166" s="16"/>
      <c r="AGE166" s="16"/>
      <c r="AGF166" s="16"/>
      <c r="AGG166" s="16"/>
      <c r="AGH166" s="16"/>
      <c r="AGI166" s="16"/>
      <c r="AGJ166" s="16"/>
      <c r="AGK166" s="16"/>
      <c r="AGL166" s="16"/>
      <c r="AGM166" s="16"/>
      <c r="AGN166" s="16"/>
      <c r="AGO166" s="16"/>
      <c r="AGP166" s="16"/>
      <c r="AGQ166" s="16"/>
      <c r="AGR166" s="16"/>
      <c r="AGS166" s="16"/>
      <c r="AGT166" s="16"/>
      <c r="AGU166" s="16"/>
      <c r="AGV166" s="16"/>
      <c r="AGW166" s="16"/>
      <c r="AGX166" s="16"/>
      <c r="AGY166" s="16"/>
      <c r="AGZ166" s="16"/>
      <c r="AHA166" s="16"/>
      <c r="AHB166" s="16"/>
      <c r="AHC166" s="16"/>
      <c r="AHD166" s="16"/>
      <c r="AHE166" s="16"/>
      <c r="AHF166" s="16"/>
      <c r="AHG166" s="16"/>
      <c r="AHH166" s="16"/>
      <c r="AHI166" s="16"/>
      <c r="AHJ166" s="16"/>
      <c r="AHK166" s="16"/>
      <c r="AHL166" s="16"/>
      <c r="AHM166" s="16"/>
      <c r="AHN166" s="16"/>
      <c r="AHO166" s="16"/>
      <c r="AHP166" s="16"/>
      <c r="AHQ166" s="16"/>
      <c r="AHR166" s="16"/>
      <c r="AHS166" s="16"/>
      <c r="AHT166" s="16"/>
      <c r="AHU166" s="16"/>
      <c r="AHV166" s="16"/>
      <c r="AHW166" s="16"/>
      <c r="AHX166" s="16"/>
      <c r="AHY166" s="16"/>
      <c r="AHZ166" s="16"/>
      <c r="AIA166" s="16"/>
      <c r="AIB166" s="16"/>
      <c r="AIC166" s="16"/>
      <c r="AID166" s="16"/>
      <c r="AIE166" s="16"/>
      <c r="AIF166" s="16"/>
      <c r="AIG166" s="16"/>
      <c r="AIH166" s="16"/>
      <c r="AII166" s="16"/>
      <c r="AIJ166" s="16"/>
      <c r="AIK166" s="16"/>
      <c r="AIL166" s="16"/>
      <c r="AIM166" s="16"/>
      <c r="AIN166" s="16"/>
      <c r="AIO166" s="16"/>
      <c r="AIP166" s="16"/>
      <c r="AIQ166" s="16"/>
      <c r="AIR166" s="16"/>
      <c r="AIS166" s="16"/>
      <c r="AIT166" s="16"/>
      <c r="AIU166" s="16"/>
      <c r="AIV166" s="16"/>
      <c r="AIW166" s="16"/>
      <c r="AIX166" s="16"/>
      <c r="AIY166" s="16"/>
      <c r="AIZ166" s="16"/>
      <c r="AJA166" s="16"/>
      <c r="AJB166" s="16"/>
      <c r="AJC166" s="16"/>
      <c r="AJD166" s="16"/>
      <c r="AJE166" s="16"/>
      <c r="AJF166" s="16"/>
      <c r="AJG166" s="16"/>
      <c r="AJH166" s="16"/>
      <c r="AJI166" s="16"/>
      <c r="AJJ166" s="16"/>
      <c r="AJK166" s="16"/>
      <c r="AJL166" s="16"/>
      <c r="AJM166" s="16"/>
      <c r="AJN166" s="16"/>
      <c r="AJO166" s="16"/>
      <c r="AJP166" s="16"/>
      <c r="AJQ166" s="16"/>
      <c r="AJR166" s="16"/>
      <c r="AJS166" s="16"/>
      <c r="AJT166" s="16"/>
      <c r="AJU166" s="16"/>
      <c r="AJV166" s="16"/>
      <c r="AJW166" s="16"/>
      <c r="AJX166" s="16"/>
      <c r="AJY166" s="16"/>
      <c r="AJZ166" s="16"/>
      <c r="AKA166" s="16"/>
      <c r="AKB166" s="16"/>
      <c r="AKC166" s="16"/>
      <c r="AKD166" s="16"/>
      <c r="AKE166" s="16"/>
      <c r="AKF166" s="16"/>
      <c r="AKG166" s="16"/>
      <c r="AKH166" s="16"/>
      <c r="AKI166" s="16"/>
      <c r="AKJ166" s="16"/>
      <c r="AKK166" s="16"/>
      <c r="AKL166" s="16"/>
      <c r="AKM166" s="16"/>
      <c r="AKN166" s="16"/>
      <c r="AKO166" s="16"/>
      <c r="AKP166" s="16"/>
      <c r="AKQ166" s="16"/>
      <c r="AKR166" s="16"/>
      <c r="AKS166" s="16"/>
      <c r="AKT166" s="16"/>
      <c r="AKU166" s="16"/>
      <c r="AKV166" s="16"/>
      <c r="AKW166" s="16"/>
      <c r="AKX166" s="16"/>
      <c r="AKY166" s="16"/>
      <c r="AKZ166" s="16"/>
      <c r="ALA166" s="16"/>
      <c r="ALB166" s="16"/>
      <c r="ALC166" s="16"/>
      <c r="ALD166" s="16"/>
      <c r="ALE166" s="16"/>
      <c r="ALF166" s="16"/>
      <c r="ALG166" s="16"/>
      <c r="ALH166" s="16"/>
      <c r="ALI166" s="16"/>
      <c r="ALJ166" s="16"/>
      <c r="ALK166" s="16"/>
      <c r="ALL166" s="16"/>
      <c r="ALM166" s="16"/>
      <c r="ALN166" s="16"/>
      <c r="ALO166" s="16"/>
      <c r="ALP166" s="16"/>
      <c r="ALQ166" s="16"/>
      <c r="ALR166" s="16"/>
      <c r="ALS166" s="16"/>
      <c r="ALT166" s="16"/>
      <c r="ALU166" s="16"/>
      <c r="ALV166" s="16"/>
      <c r="ALW166" s="16"/>
      <c r="ALX166" s="16"/>
      <c r="ALY166" s="16"/>
      <c r="ALZ166" s="16"/>
      <c r="AMA166" s="16"/>
      <c r="AMB166" s="16"/>
      <c r="AMC166" s="16"/>
      <c r="AMD166" s="16"/>
      <c r="AME166" s="16"/>
      <c r="AMF166" s="16"/>
      <c r="AMG166" s="16"/>
      <c r="AMH166" s="16"/>
      <c r="AMI166" s="16"/>
      <c r="AMJ166" s="16"/>
      <c r="AMK166" s="16"/>
      <c r="AML166" s="16"/>
      <c r="AMM166" s="16"/>
      <c r="AMN166" s="16"/>
      <c r="AMO166" s="16"/>
      <c r="AMP166" s="16"/>
      <c r="AMQ166" s="16"/>
      <c r="AMR166" s="16"/>
      <c r="AMS166" s="16"/>
      <c r="AMT166" s="16"/>
      <c r="AMU166" s="16"/>
      <c r="AMV166" s="16"/>
      <c r="AMW166" s="16"/>
      <c r="AMX166" s="16"/>
      <c r="AMY166" s="16"/>
      <c r="AMZ166" s="16"/>
      <c r="ANA166" s="16"/>
      <c r="ANB166" s="16"/>
      <c r="ANC166" s="16"/>
      <c r="AND166" s="16"/>
      <c r="ANE166" s="16"/>
      <c r="ANF166" s="16"/>
      <c r="ANG166" s="16"/>
      <c r="ANH166" s="16"/>
      <c r="ANI166" s="16"/>
      <c r="ANJ166" s="16"/>
      <c r="ANK166" s="16"/>
      <c r="ANL166" s="16"/>
      <c r="ANM166" s="16"/>
      <c r="ANN166" s="16"/>
      <c r="ANO166" s="16"/>
      <c r="ANP166" s="16"/>
      <c r="ANQ166" s="16"/>
      <c r="ANR166" s="16"/>
      <c r="ANS166" s="16"/>
      <c r="ANT166" s="16"/>
      <c r="ANU166" s="16"/>
      <c r="ANV166" s="16"/>
      <c r="ANW166" s="16"/>
      <c r="ANX166" s="16"/>
      <c r="ANY166" s="16"/>
      <c r="ANZ166" s="16"/>
      <c r="AOA166" s="16"/>
      <c r="AOB166" s="16"/>
      <c r="AOC166" s="16"/>
      <c r="AOD166" s="16"/>
      <c r="AOE166" s="16"/>
      <c r="AOF166" s="16"/>
      <c r="AOG166" s="16"/>
      <c r="AOH166" s="16"/>
      <c r="AOI166" s="16"/>
      <c r="AOJ166" s="16"/>
      <c r="AOK166" s="16"/>
      <c r="AOL166" s="16"/>
      <c r="AOM166" s="16"/>
      <c r="AON166" s="16"/>
      <c r="AOO166" s="16"/>
      <c r="AOP166" s="16"/>
      <c r="AOQ166" s="16"/>
      <c r="AOR166" s="16"/>
      <c r="AOS166" s="16"/>
      <c r="AOT166" s="16"/>
      <c r="AOU166" s="16"/>
      <c r="AOV166" s="16"/>
      <c r="AOW166" s="16"/>
      <c r="AOX166" s="16"/>
      <c r="AOY166" s="16"/>
      <c r="AOZ166" s="16"/>
      <c r="APA166" s="16"/>
      <c r="APB166" s="16"/>
      <c r="APC166" s="16"/>
      <c r="APD166" s="16"/>
      <c r="APE166" s="16"/>
      <c r="APF166" s="16"/>
      <c r="APG166" s="16"/>
      <c r="APH166" s="16"/>
      <c r="API166" s="16"/>
      <c r="APJ166" s="16"/>
      <c r="APK166" s="16"/>
      <c r="APL166" s="16"/>
      <c r="APM166" s="16"/>
      <c r="APN166" s="16"/>
      <c r="APO166" s="16"/>
      <c r="APP166" s="16"/>
      <c r="APQ166" s="16"/>
      <c r="APR166" s="16"/>
      <c r="APS166" s="16"/>
      <c r="APT166" s="16"/>
      <c r="APU166" s="16"/>
      <c r="APV166" s="16"/>
      <c r="APW166" s="16"/>
      <c r="APX166" s="16"/>
      <c r="APY166" s="16"/>
      <c r="APZ166" s="16"/>
      <c r="AQA166" s="16"/>
      <c r="AQB166" s="16"/>
      <c r="AQC166" s="16"/>
      <c r="AQD166" s="16"/>
      <c r="AQE166" s="16"/>
      <c r="AQF166" s="16"/>
      <c r="AQG166" s="16"/>
      <c r="AQH166" s="16"/>
      <c r="AQI166" s="16"/>
      <c r="AQJ166" s="16"/>
      <c r="AQK166" s="16"/>
      <c r="AQL166" s="16"/>
      <c r="AQM166" s="16"/>
      <c r="AQN166" s="16"/>
      <c r="AQO166" s="16"/>
      <c r="AQP166" s="16"/>
      <c r="AQQ166" s="16"/>
      <c r="AQR166" s="16"/>
      <c r="AQS166" s="16"/>
      <c r="AQT166" s="16"/>
      <c r="AQU166" s="16"/>
      <c r="AQV166" s="16"/>
      <c r="AQW166" s="16"/>
      <c r="AQX166" s="16"/>
      <c r="AQY166" s="16"/>
      <c r="AQZ166" s="16"/>
      <c r="ARA166" s="16"/>
      <c r="ARB166" s="16"/>
      <c r="ARC166" s="16"/>
      <c r="ARD166" s="16"/>
      <c r="ARE166" s="16"/>
      <c r="ARF166" s="16"/>
      <c r="ARG166" s="16"/>
      <c r="ARH166" s="16"/>
      <c r="ARI166" s="16"/>
      <c r="ARJ166" s="16"/>
      <c r="ARK166" s="16"/>
      <c r="ARL166" s="16"/>
      <c r="ARM166" s="16"/>
      <c r="ARN166" s="16"/>
      <c r="ARO166" s="16"/>
      <c r="ARP166" s="16"/>
      <c r="ARQ166" s="16"/>
      <c r="ARR166" s="16"/>
      <c r="ARS166" s="16"/>
      <c r="ART166" s="16"/>
      <c r="ARU166" s="16"/>
      <c r="ARV166" s="16"/>
      <c r="ARW166" s="16"/>
      <c r="ARX166" s="16"/>
      <c r="ARY166" s="16"/>
      <c r="ARZ166" s="16"/>
      <c r="ASA166" s="16"/>
      <c r="ASB166" s="16"/>
      <c r="ASC166" s="16"/>
      <c r="ASD166" s="16"/>
      <c r="ASE166" s="16"/>
      <c r="ASF166" s="16"/>
      <c r="ASG166" s="16"/>
      <c r="ASH166" s="16"/>
      <c r="ASI166" s="16"/>
      <c r="ASJ166" s="16"/>
      <c r="ASK166" s="16"/>
      <c r="ASL166" s="16"/>
      <c r="ASM166" s="16"/>
      <c r="ASN166" s="16"/>
      <c r="ASO166" s="16"/>
      <c r="ASP166" s="16"/>
      <c r="ASQ166" s="16"/>
      <c r="ASR166" s="16"/>
      <c r="ASS166" s="16"/>
      <c r="AST166" s="16"/>
      <c r="ASU166" s="16"/>
      <c r="ASV166" s="16"/>
      <c r="ASW166" s="16"/>
      <c r="ASX166" s="16"/>
      <c r="ASY166" s="16"/>
      <c r="ASZ166" s="16"/>
      <c r="ATA166" s="16"/>
      <c r="ATB166" s="16"/>
      <c r="ATC166" s="16"/>
      <c r="ATD166" s="16"/>
      <c r="ATE166" s="16"/>
      <c r="ATF166" s="16"/>
      <c r="ATG166" s="16"/>
      <c r="ATH166" s="16"/>
      <c r="ATI166" s="16"/>
      <c r="ATJ166" s="16"/>
      <c r="ATK166" s="16"/>
      <c r="ATL166" s="16"/>
      <c r="ATM166" s="16"/>
      <c r="ATN166" s="16"/>
      <c r="ATO166" s="16"/>
      <c r="ATP166" s="16"/>
      <c r="ATQ166" s="16"/>
      <c r="ATR166" s="16"/>
      <c r="ATS166" s="16"/>
      <c r="ATT166" s="16"/>
      <c r="ATU166" s="16"/>
      <c r="ATV166" s="16"/>
      <c r="ATW166" s="16"/>
      <c r="ATX166" s="16"/>
      <c r="ATY166" s="16"/>
      <c r="ATZ166" s="16"/>
      <c r="AUA166" s="16"/>
      <c r="AUB166" s="16"/>
      <c r="AUC166" s="16"/>
      <c r="AUD166" s="16"/>
      <c r="AUE166" s="16"/>
      <c r="AUF166" s="16"/>
      <c r="AUG166" s="16"/>
      <c r="AUH166" s="16"/>
      <c r="AUI166" s="16"/>
      <c r="AUJ166" s="16"/>
      <c r="AUK166" s="16"/>
      <c r="AUL166" s="16"/>
      <c r="AUM166" s="16"/>
      <c r="AUN166" s="16"/>
      <c r="AUO166" s="16"/>
      <c r="AUP166" s="16"/>
      <c r="AUQ166" s="16"/>
      <c r="AUR166" s="16"/>
      <c r="AUS166" s="16"/>
      <c r="AUT166" s="16"/>
      <c r="AUU166" s="16"/>
      <c r="AUV166" s="16"/>
      <c r="AUW166" s="16"/>
      <c r="AUX166" s="16"/>
      <c r="AUY166" s="16"/>
      <c r="AUZ166" s="16"/>
      <c r="AVA166" s="16"/>
      <c r="AVB166" s="16"/>
      <c r="AVC166" s="16"/>
      <c r="AVD166" s="16"/>
      <c r="AVE166" s="16"/>
      <c r="AVF166" s="16"/>
      <c r="AVG166" s="16"/>
      <c r="AVH166" s="16"/>
      <c r="AVI166" s="16"/>
      <c r="AVJ166" s="16"/>
      <c r="AVK166" s="16"/>
      <c r="AVL166" s="16"/>
      <c r="AVM166" s="16"/>
      <c r="AVN166" s="16"/>
      <c r="AVO166" s="16"/>
      <c r="AVP166" s="16"/>
      <c r="AVQ166" s="16"/>
      <c r="AVR166" s="16"/>
      <c r="AVS166" s="16"/>
      <c r="AVT166" s="16"/>
      <c r="AVU166" s="16"/>
      <c r="AVV166" s="16"/>
      <c r="AVW166" s="16"/>
      <c r="AVX166" s="16"/>
      <c r="AVY166" s="16"/>
      <c r="AVZ166" s="16"/>
      <c r="AWA166" s="16"/>
      <c r="AWB166" s="16"/>
      <c r="AWC166" s="16"/>
      <c r="AWD166" s="16"/>
      <c r="AWE166" s="16"/>
      <c r="AWF166" s="16"/>
      <c r="AWG166" s="16"/>
      <c r="AWH166" s="16"/>
      <c r="AWI166" s="16"/>
      <c r="AWJ166" s="16"/>
      <c r="AWK166" s="16"/>
      <c r="AWL166" s="16"/>
      <c r="AWM166" s="16"/>
      <c r="AWN166" s="16"/>
      <c r="AWO166" s="16"/>
      <c r="AWP166" s="16"/>
      <c r="AWQ166" s="16"/>
      <c r="AWR166" s="16"/>
      <c r="AWS166" s="16"/>
      <c r="AWT166" s="16"/>
      <c r="AWU166" s="16"/>
      <c r="AWV166" s="16"/>
      <c r="AWW166" s="16"/>
      <c r="AWX166" s="16"/>
      <c r="AWY166" s="16"/>
      <c r="AWZ166" s="16"/>
      <c r="AXA166" s="16"/>
      <c r="AXB166" s="16"/>
      <c r="AXC166" s="16"/>
      <c r="AXD166" s="16"/>
      <c r="AXE166" s="16"/>
      <c r="AXF166" s="16"/>
      <c r="AXG166" s="16"/>
      <c r="AXH166" s="16"/>
      <c r="AXI166" s="16"/>
      <c r="AXJ166" s="16"/>
      <c r="AXK166" s="16"/>
      <c r="AXL166" s="16"/>
      <c r="AXM166" s="16"/>
      <c r="AXN166" s="16"/>
      <c r="AXO166" s="16"/>
      <c r="AXP166" s="16"/>
      <c r="AXQ166" s="16"/>
      <c r="AXR166" s="16"/>
      <c r="AXS166" s="16"/>
      <c r="AXT166" s="16"/>
      <c r="AXU166" s="16"/>
      <c r="AXV166" s="16"/>
      <c r="AXW166" s="16"/>
      <c r="AXX166" s="16"/>
      <c r="AXY166" s="16"/>
      <c r="AXZ166" s="16"/>
      <c r="AYA166" s="16"/>
      <c r="AYB166" s="16"/>
      <c r="AYC166" s="16"/>
      <c r="AYD166" s="16"/>
      <c r="AYE166" s="16"/>
      <c r="AYF166" s="16"/>
      <c r="AYG166" s="16"/>
      <c r="AYH166" s="16"/>
      <c r="AYI166" s="16"/>
      <c r="AYJ166" s="16"/>
      <c r="AYK166" s="16"/>
      <c r="AYL166" s="16"/>
      <c r="AYM166" s="16"/>
      <c r="AYN166" s="16"/>
      <c r="AYO166" s="16"/>
      <c r="AYP166" s="16"/>
      <c r="AYQ166" s="16"/>
      <c r="AYR166" s="16"/>
      <c r="AYS166" s="16"/>
      <c r="AYT166" s="16"/>
      <c r="AYU166" s="16"/>
      <c r="AYV166" s="16"/>
      <c r="AYW166" s="16"/>
      <c r="AYX166" s="16"/>
      <c r="AYY166" s="16"/>
      <c r="AYZ166" s="16"/>
      <c r="AZA166" s="16"/>
      <c r="AZB166" s="16"/>
      <c r="AZC166" s="16"/>
      <c r="AZD166" s="16"/>
      <c r="AZE166" s="16"/>
      <c r="AZF166" s="16"/>
      <c r="AZG166" s="16"/>
      <c r="AZH166" s="16"/>
      <c r="AZI166" s="16"/>
      <c r="AZJ166" s="16"/>
      <c r="AZK166" s="16"/>
      <c r="AZL166" s="16"/>
      <c r="AZM166" s="16"/>
      <c r="AZN166" s="16"/>
      <c r="AZO166" s="16"/>
      <c r="AZP166" s="16"/>
      <c r="AZQ166" s="16"/>
      <c r="AZR166" s="16"/>
      <c r="AZS166" s="16"/>
      <c r="AZT166" s="16"/>
      <c r="AZU166" s="16"/>
      <c r="AZV166" s="16"/>
      <c r="AZW166" s="16"/>
      <c r="AZX166" s="16"/>
      <c r="AZY166" s="16"/>
      <c r="AZZ166" s="16"/>
      <c r="BAA166" s="16"/>
      <c r="BAB166" s="16"/>
      <c r="BAC166" s="16"/>
      <c r="BAD166" s="16"/>
      <c r="BAE166" s="16"/>
      <c r="BAF166" s="16"/>
      <c r="BAG166" s="16"/>
      <c r="BAH166" s="16"/>
      <c r="BAI166" s="16"/>
      <c r="BAJ166" s="16"/>
      <c r="BAK166" s="16"/>
      <c r="BAL166" s="16"/>
      <c r="BAM166" s="16"/>
      <c r="BAN166" s="16"/>
      <c r="BAO166" s="16"/>
      <c r="BAP166" s="16"/>
      <c r="BAQ166" s="16"/>
      <c r="BAR166" s="16"/>
      <c r="BAS166" s="16"/>
      <c r="BAT166" s="16"/>
      <c r="BAU166" s="16"/>
      <c r="BAV166" s="16"/>
      <c r="BAW166" s="16"/>
      <c r="BAX166" s="16"/>
      <c r="BAY166" s="16"/>
      <c r="BAZ166" s="16"/>
      <c r="BBA166" s="16"/>
      <c r="BBB166" s="16"/>
      <c r="BBC166" s="16"/>
      <c r="BBD166" s="16"/>
      <c r="BBE166" s="16"/>
      <c r="BBF166" s="16"/>
      <c r="BBG166" s="16"/>
      <c r="BBH166" s="16"/>
      <c r="BBI166" s="16"/>
      <c r="BBJ166" s="16"/>
      <c r="BBK166" s="16"/>
      <c r="BBL166" s="16"/>
      <c r="BBM166" s="16"/>
      <c r="BBN166" s="16"/>
      <c r="BBO166" s="16"/>
      <c r="BBP166" s="16"/>
      <c r="BBQ166" s="16"/>
      <c r="BBR166" s="16"/>
      <c r="BBS166" s="16"/>
      <c r="BBT166" s="16"/>
      <c r="BBU166" s="16"/>
      <c r="BBV166" s="16"/>
      <c r="BBW166" s="16"/>
      <c r="BBX166" s="16"/>
      <c r="BBY166" s="16"/>
      <c r="BBZ166" s="16"/>
      <c r="BCA166" s="16"/>
      <c r="BCB166" s="16"/>
      <c r="BCC166" s="16"/>
      <c r="BCD166" s="16"/>
      <c r="BCE166" s="16"/>
      <c r="BCF166" s="16"/>
      <c r="BCG166" s="16"/>
      <c r="BCH166" s="16"/>
      <c r="BCI166" s="16"/>
      <c r="BCJ166" s="16"/>
      <c r="BCK166" s="16"/>
      <c r="BCL166" s="16"/>
      <c r="BCM166" s="16"/>
      <c r="BCN166" s="16"/>
      <c r="BCO166" s="16"/>
      <c r="BCP166" s="16"/>
      <c r="BCQ166" s="16"/>
      <c r="BCR166" s="16"/>
      <c r="BCS166" s="16"/>
      <c r="BCT166" s="16"/>
      <c r="BCU166" s="16"/>
      <c r="BCV166" s="16"/>
      <c r="BCW166" s="16"/>
      <c r="BCX166" s="16"/>
      <c r="BCY166" s="16"/>
      <c r="BCZ166" s="16"/>
      <c r="BDA166" s="16"/>
      <c r="BDB166" s="16"/>
      <c r="BDC166" s="16"/>
      <c r="BDD166" s="16"/>
      <c r="BDE166" s="16"/>
      <c r="BDF166" s="16"/>
      <c r="BDG166" s="16"/>
      <c r="BDH166" s="16"/>
      <c r="BDI166" s="16"/>
      <c r="BDJ166" s="16"/>
      <c r="BDK166" s="16"/>
      <c r="BDL166" s="16"/>
      <c r="BDM166" s="16"/>
      <c r="BDN166" s="16"/>
      <c r="BDO166" s="16"/>
      <c r="BDP166" s="16"/>
      <c r="BDQ166" s="16"/>
      <c r="BDR166" s="16"/>
      <c r="BDS166" s="16"/>
      <c r="BDT166" s="16"/>
      <c r="BDU166" s="16"/>
      <c r="BDV166" s="16"/>
      <c r="BDW166" s="16"/>
      <c r="BDX166" s="16"/>
      <c r="BDY166" s="16"/>
      <c r="BDZ166" s="16"/>
      <c r="BEA166" s="16"/>
      <c r="BEB166" s="16"/>
      <c r="BEC166" s="16"/>
      <c r="BED166" s="16"/>
      <c r="BEE166" s="16"/>
      <c r="BEF166" s="16"/>
      <c r="BEG166" s="16"/>
      <c r="BEH166" s="16"/>
      <c r="BEI166" s="16"/>
      <c r="BEJ166" s="16"/>
      <c r="BEK166" s="16"/>
      <c r="BEL166" s="16"/>
      <c r="BEM166" s="16"/>
      <c r="BEN166" s="16"/>
      <c r="BEO166" s="16"/>
      <c r="BEP166" s="16"/>
      <c r="BEQ166" s="16"/>
      <c r="BER166" s="16"/>
      <c r="BES166" s="16"/>
      <c r="BET166" s="16"/>
      <c r="BEU166" s="16"/>
      <c r="BEV166" s="16"/>
      <c r="BEW166" s="16"/>
      <c r="BEX166" s="16"/>
      <c r="BEY166" s="16"/>
      <c r="BEZ166" s="16"/>
      <c r="BFA166" s="16"/>
      <c r="BFB166" s="16"/>
      <c r="BFC166" s="16"/>
      <c r="BFD166" s="16"/>
      <c r="BFE166" s="16"/>
      <c r="BFF166" s="16"/>
      <c r="BFG166" s="16"/>
      <c r="BFH166" s="16"/>
      <c r="BFI166" s="16"/>
      <c r="BFJ166" s="16"/>
      <c r="BFK166" s="16"/>
      <c r="BFL166" s="16"/>
      <c r="BFM166" s="16"/>
      <c r="BFN166" s="16"/>
      <c r="BFO166" s="16"/>
      <c r="BFP166" s="16"/>
      <c r="BFQ166" s="16"/>
      <c r="BFR166" s="16"/>
      <c r="BFS166" s="16"/>
      <c r="BFT166" s="16"/>
      <c r="BFU166" s="16"/>
      <c r="BFV166" s="16"/>
      <c r="BFW166" s="16"/>
      <c r="BFX166" s="16"/>
      <c r="BFY166" s="16"/>
      <c r="BFZ166" s="16"/>
      <c r="BGA166" s="16"/>
      <c r="BGB166" s="16"/>
      <c r="BGC166" s="16"/>
      <c r="BGD166" s="16"/>
      <c r="BGE166" s="16"/>
      <c r="BGF166" s="16"/>
      <c r="BGG166" s="16"/>
      <c r="BGH166" s="16"/>
      <c r="BGI166" s="16"/>
      <c r="BGJ166" s="16"/>
      <c r="BGK166" s="16"/>
      <c r="BGL166" s="16"/>
      <c r="BGM166" s="16"/>
      <c r="BGN166" s="16"/>
      <c r="BGO166" s="16"/>
      <c r="BGP166" s="16"/>
      <c r="BGQ166" s="16"/>
      <c r="BGR166" s="16"/>
      <c r="BGS166" s="16"/>
      <c r="BGT166" s="16"/>
      <c r="BGU166" s="16"/>
      <c r="BGV166" s="16"/>
      <c r="BGW166" s="16"/>
      <c r="BGX166" s="16"/>
      <c r="BGY166" s="16"/>
      <c r="BGZ166" s="16"/>
      <c r="BHA166" s="16"/>
      <c r="BHB166" s="16"/>
      <c r="BHC166" s="16"/>
      <c r="BHD166" s="16"/>
      <c r="BHE166" s="16"/>
      <c r="BHF166" s="16"/>
      <c r="BHG166" s="16"/>
      <c r="BHH166" s="16"/>
      <c r="BHI166" s="16"/>
      <c r="BHJ166" s="16"/>
      <c r="BHK166" s="16"/>
      <c r="BHL166" s="16"/>
      <c r="BHM166" s="16"/>
      <c r="BHN166" s="16"/>
      <c r="BHO166" s="16"/>
      <c r="BHP166" s="16"/>
      <c r="BHQ166" s="16"/>
      <c r="BHR166" s="16"/>
      <c r="BHS166" s="16"/>
      <c r="BHT166" s="16"/>
      <c r="BHU166" s="16"/>
      <c r="BHV166" s="16"/>
      <c r="BHW166" s="16"/>
      <c r="BHX166" s="16"/>
      <c r="BHY166" s="16"/>
      <c r="BHZ166" s="16"/>
      <c r="BIA166" s="16"/>
      <c r="BIB166" s="16"/>
      <c r="BIC166" s="16"/>
      <c r="BID166" s="16"/>
      <c r="BIE166" s="16"/>
      <c r="BIF166" s="16"/>
      <c r="BIG166" s="16"/>
      <c r="BIH166" s="16"/>
      <c r="BII166" s="16"/>
      <c r="BIJ166" s="16"/>
      <c r="BIK166" s="16"/>
      <c r="BIL166" s="16"/>
      <c r="BIM166" s="16"/>
      <c r="BIN166" s="16"/>
      <c r="BIO166" s="16"/>
      <c r="BIP166" s="16"/>
      <c r="BIQ166" s="16"/>
      <c r="BIR166" s="16"/>
      <c r="BIS166" s="16"/>
      <c r="BIT166" s="16"/>
      <c r="BIU166" s="16"/>
      <c r="BIV166" s="16"/>
      <c r="BIW166" s="16"/>
      <c r="BIX166" s="16"/>
      <c r="BIY166" s="16"/>
      <c r="BIZ166" s="16"/>
      <c r="BJA166" s="16"/>
      <c r="BJB166" s="16"/>
      <c r="BJC166" s="16"/>
      <c r="BJD166" s="16"/>
      <c r="BJE166" s="16"/>
      <c r="BJF166" s="16"/>
      <c r="BJG166" s="16"/>
      <c r="BJH166" s="16"/>
      <c r="BJI166" s="16"/>
      <c r="BJJ166" s="16"/>
      <c r="BJK166" s="16"/>
      <c r="BJL166" s="16"/>
      <c r="BJM166" s="16"/>
      <c r="BJN166" s="16"/>
      <c r="BJO166" s="16"/>
      <c r="BJP166" s="16"/>
      <c r="BJQ166" s="16"/>
      <c r="BJR166" s="16"/>
      <c r="BJS166" s="16"/>
      <c r="BJT166" s="16"/>
      <c r="BJU166" s="16"/>
      <c r="BJV166" s="16"/>
      <c r="BJW166" s="16"/>
      <c r="BJX166" s="16"/>
      <c r="BJY166" s="16"/>
      <c r="BJZ166" s="16"/>
      <c r="BKA166" s="16"/>
      <c r="BKB166" s="16"/>
      <c r="BKC166" s="16"/>
      <c r="BKD166" s="16"/>
      <c r="BKE166" s="16"/>
      <c r="BKF166" s="16"/>
      <c r="BKG166" s="16"/>
      <c r="BKH166" s="16"/>
      <c r="BKI166" s="16"/>
      <c r="BKJ166" s="16"/>
      <c r="BKK166" s="16"/>
      <c r="BKL166" s="16"/>
      <c r="BKM166" s="16"/>
      <c r="BKN166" s="16"/>
      <c r="BKO166" s="16"/>
      <c r="BKP166" s="16"/>
      <c r="BKQ166" s="16"/>
      <c r="BKR166" s="16"/>
      <c r="BKS166" s="16"/>
      <c r="BKT166" s="16"/>
      <c r="BKU166" s="16"/>
      <c r="BKV166" s="16"/>
      <c r="BKW166" s="16"/>
      <c r="BKX166" s="16"/>
      <c r="BKY166" s="16"/>
      <c r="BKZ166" s="16"/>
      <c r="BLA166" s="16"/>
      <c r="BLB166" s="16"/>
      <c r="BLC166" s="16"/>
      <c r="BLD166" s="16"/>
      <c r="BLE166" s="16"/>
      <c r="BLF166" s="16"/>
      <c r="BLG166" s="16"/>
      <c r="BLH166" s="16"/>
      <c r="BLI166" s="16"/>
      <c r="BLJ166" s="16"/>
      <c r="BLK166" s="16"/>
      <c r="BLL166" s="16"/>
      <c r="BLM166" s="16"/>
      <c r="BLN166" s="16"/>
      <c r="BLO166" s="16"/>
      <c r="BLP166" s="16"/>
      <c r="BLQ166" s="16"/>
      <c r="BLR166" s="16"/>
      <c r="BLS166" s="16"/>
      <c r="BLT166" s="16"/>
      <c r="BLU166" s="16"/>
      <c r="BLV166" s="16"/>
      <c r="BLW166" s="16"/>
      <c r="BLX166" s="16"/>
      <c r="BLY166" s="16"/>
      <c r="BLZ166" s="16"/>
      <c r="BMA166" s="16"/>
      <c r="BMB166" s="16"/>
      <c r="BMC166" s="16"/>
      <c r="BMD166" s="16"/>
      <c r="BME166" s="16"/>
      <c r="BMF166" s="16"/>
      <c r="BMG166" s="16"/>
      <c r="BMH166" s="16"/>
      <c r="BMI166" s="16"/>
      <c r="BMJ166" s="16"/>
      <c r="BMK166" s="16"/>
      <c r="BML166" s="16"/>
      <c r="BMM166" s="16"/>
      <c r="BMN166" s="16"/>
      <c r="BMO166" s="16"/>
      <c r="BMP166" s="16"/>
      <c r="BMQ166" s="16"/>
      <c r="BMR166" s="16"/>
      <c r="BMS166" s="16"/>
      <c r="BMT166" s="16"/>
      <c r="BMU166" s="16"/>
      <c r="BMV166" s="16"/>
      <c r="BMW166" s="16"/>
      <c r="BMX166" s="16"/>
      <c r="BMY166" s="16"/>
      <c r="BMZ166" s="16"/>
      <c r="BNA166" s="16"/>
      <c r="BNB166" s="16"/>
      <c r="BNC166" s="16"/>
      <c r="BND166" s="16"/>
      <c r="BNE166" s="16"/>
      <c r="BNF166" s="16"/>
      <c r="BNG166" s="16"/>
      <c r="BNH166" s="16"/>
      <c r="BNI166" s="16"/>
      <c r="BNJ166" s="16"/>
      <c r="BNK166" s="16"/>
      <c r="BNL166" s="16"/>
      <c r="BNM166" s="16"/>
      <c r="BNN166" s="16"/>
      <c r="BNO166" s="16"/>
      <c r="BNP166" s="16"/>
      <c r="BNQ166" s="16"/>
      <c r="BNR166" s="16"/>
      <c r="BNS166" s="16"/>
      <c r="BNT166" s="16"/>
      <c r="BNU166" s="16"/>
      <c r="BNV166" s="16"/>
      <c r="BNW166" s="16"/>
      <c r="BNX166" s="16"/>
      <c r="BNY166" s="16"/>
      <c r="BNZ166" s="16"/>
      <c r="BOA166" s="16"/>
      <c r="BOB166" s="16"/>
      <c r="BOC166" s="16"/>
      <c r="BOD166" s="16"/>
      <c r="BOE166" s="16"/>
      <c r="BOF166" s="16"/>
      <c r="BOG166" s="16"/>
      <c r="BOH166" s="16"/>
      <c r="BOI166" s="16"/>
      <c r="BOJ166" s="16"/>
      <c r="BOK166" s="16"/>
      <c r="BOL166" s="16"/>
      <c r="BOM166" s="16"/>
      <c r="BON166" s="16"/>
      <c r="BOO166" s="16"/>
      <c r="BOP166" s="16"/>
      <c r="BOQ166" s="16"/>
      <c r="BOR166" s="16"/>
      <c r="BOS166" s="16"/>
      <c r="BOT166" s="16"/>
      <c r="BOU166" s="16"/>
      <c r="BOV166" s="16"/>
      <c r="BOW166" s="16"/>
      <c r="BOX166" s="16"/>
      <c r="BOY166" s="16"/>
      <c r="BOZ166" s="16"/>
      <c r="BPA166" s="16"/>
      <c r="BPB166" s="16"/>
      <c r="BPC166" s="16"/>
      <c r="BPD166" s="16"/>
      <c r="BPE166" s="16"/>
      <c r="BPF166" s="16"/>
      <c r="BPG166" s="16"/>
      <c r="BPH166" s="16"/>
      <c r="BPI166" s="16"/>
      <c r="BPJ166" s="16"/>
      <c r="BPK166" s="16"/>
      <c r="BPL166" s="16"/>
      <c r="BPM166" s="16"/>
      <c r="BPN166" s="16"/>
      <c r="BPO166" s="16"/>
      <c r="BPP166" s="16"/>
      <c r="BPQ166" s="16"/>
      <c r="BPR166" s="16"/>
      <c r="BPS166" s="16"/>
      <c r="BPT166" s="16"/>
      <c r="BPU166" s="16"/>
      <c r="BPV166" s="16"/>
      <c r="BPW166" s="16"/>
      <c r="BPX166" s="16"/>
      <c r="BPY166" s="16"/>
      <c r="BPZ166" s="16"/>
      <c r="BQA166" s="16"/>
      <c r="BQB166" s="16"/>
      <c r="BQC166" s="16"/>
      <c r="BQD166" s="16"/>
      <c r="BQE166" s="16"/>
      <c r="BQF166" s="16"/>
      <c r="BQG166" s="16"/>
      <c r="BQH166" s="16"/>
      <c r="BQI166" s="16"/>
      <c r="BQJ166" s="16"/>
      <c r="BQK166" s="16"/>
      <c r="BQL166" s="16"/>
      <c r="BQM166" s="16"/>
      <c r="BQN166" s="16"/>
      <c r="BQO166" s="16"/>
      <c r="BQP166" s="16"/>
      <c r="BQQ166" s="16"/>
      <c r="BQR166" s="16"/>
      <c r="BQS166" s="16"/>
      <c r="BQT166" s="16"/>
      <c r="BQU166" s="16"/>
      <c r="BQV166" s="16"/>
      <c r="BQW166" s="16"/>
      <c r="BQX166" s="16"/>
      <c r="BQY166" s="16"/>
      <c r="BQZ166" s="16"/>
      <c r="BRA166" s="16"/>
      <c r="BRB166" s="16"/>
      <c r="BRC166" s="16"/>
      <c r="BRD166" s="16"/>
      <c r="BRE166" s="16"/>
      <c r="BRF166" s="16"/>
      <c r="BRG166" s="16"/>
      <c r="BRH166" s="16"/>
      <c r="BRI166" s="16"/>
      <c r="BRJ166" s="16"/>
      <c r="BRK166" s="16"/>
      <c r="BRL166" s="16"/>
      <c r="BRM166" s="16"/>
      <c r="BRN166" s="16"/>
      <c r="BRO166" s="16"/>
      <c r="BRP166" s="16"/>
      <c r="BRQ166" s="16"/>
      <c r="BRR166" s="16"/>
      <c r="BRS166" s="16"/>
      <c r="BRT166" s="16"/>
      <c r="BRU166" s="16"/>
      <c r="BRV166" s="16"/>
      <c r="BRW166" s="16"/>
      <c r="BRX166" s="16"/>
      <c r="BRY166" s="16"/>
      <c r="BRZ166" s="16"/>
      <c r="BSA166" s="16"/>
      <c r="BSB166" s="16"/>
      <c r="BSC166" s="16"/>
      <c r="BSD166" s="16"/>
      <c r="BSE166" s="16"/>
      <c r="BSF166" s="16"/>
      <c r="BSG166" s="16"/>
      <c r="BSH166" s="16"/>
      <c r="BSI166" s="16"/>
      <c r="BSJ166" s="16"/>
      <c r="BSK166" s="16"/>
      <c r="BSL166" s="16"/>
      <c r="BSM166" s="16"/>
      <c r="BSN166" s="16"/>
      <c r="BSO166" s="16"/>
      <c r="BSP166" s="16"/>
      <c r="BSQ166" s="16"/>
      <c r="BSR166" s="16"/>
      <c r="BSS166" s="16"/>
      <c r="BST166" s="16"/>
      <c r="BSU166" s="16"/>
      <c r="BSV166" s="16"/>
      <c r="BSW166" s="16"/>
      <c r="BSX166" s="16"/>
      <c r="BSY166" s="16"/>
      <c r="BSZ166" s="16"/>
      <c r="BTA166" s="16"/>
      <c r="BTB166" s="16"/>
      <c r="BTC166" s="16"/>
      <c r="BTD166" s="16"/>
      <c r="BTE166" s="16"/>
      <c r="BTF166" s="16"/>
      <c r="BTG166" s="16"/>
      <c r="BTH166" s="16"/>
      <c r="BTI166" s="16"/>
      <c r="BTJ166" s="16"/>
      <c r="BTK166" s="16"/>
      <c r="BTL166" s="16"/>
      <c r="BTM166" s="16"/>
      <c r="BTN166" s="16"/>
      <c r="BTO166" s="16"/>
      <c r="BTP166" s="16"/>
      <c r="BTQ166" s="16"/>
      <c r="BTR166" s="16"/>
      <c r="BTS166" s="16"/>
      <c r="BTT166" s="16"/>
      <c r="BTU166" s="16"/>
      <c r="BTV166" s="16"/>
      <c r="BTW166" s="16"/>
      <c r="BTX166" s="16"/>
      <c r="BTY166" s="16"/>
      <c r="BTZ166" s="16"/>
      <c r="BUA166" s="16"/>
      <c r="BUB166" s="16"/>
      <c r="BUC166" s="16"/>
      <c r="BUD166" s="16"/>
      <c r="BUE166" s="16"/>
      <c r="BUF166" s="16"/>
      <c r="BUG166" s="16"/>
      <c r="BUH166" s="16"/>
      <c r="BUI166" s="16"/>
      <c r="BUJ166" s="16"/>
      <c r="BUK166" s="16"/>
      <c r="BUL166" s="16"/>
      <c r="BUM166" s="16"/>
      <c r="BUN166" s="16"/>
      <c r="BUO166" s="16"/>
      <c r="BUP166" s="16"/>
      <c r="BUQ166" s="16"/>
      <c r="BUR166" s="16"/>
      <c r="BUS166" s="16"/>
      <c r="BUT166" s="16"/>
      <c r="BUU166" s="16"/>
      <c r="BUV166" s="16"/>
      <c r="BUW166" s="16"/>
      <c r="BUX166" s="16"/>
      <c r="BUY166" s="16"/>
      <c r="BUZ166" s="16"/>
      <c r="BVA166" s="16"/>
      <c r="BVB166" s="16"/>
      <c r="BVC166" s="16"/>
      <c r="BVD166" s="16"/>
      <c r="BVE166" s="16"/>
      <c r="BVF166" s="16"/>
      <c r="BVG166" s="16"/>
      <c r="BVH166" s="16"/>
      <c r="BVI166" s="16"/>
      <c r="BVJ166" s="16"/>
      <c r="BVK166" s="16"/>
      <c r="BVL166" s="16"/>
      <c r="BVM166" s="16"/>
      <c r="BVN166" s="16"/>
      <c r="BVO166" s="16"/>
      <c r="BVP166" s="16"/>
      <c r="BVQ166" s="16"/>
      <c r="BVR166" s="16"/>
      <c r="BVS166" s="16"/>
      <c r="BVT166" s="16"/>
      <c r="BVU166" s="16"/>
      <c r="BVV166" s="16"/>
      <c r="BVW166" s="16"/>
      <c r="BVX166" s="16"/>
      <c r="BVY166" s="16"/>
      <c r="BVZ166" s="16"/>
      <c r="BWA166" s="16"/>
      <c r="BWB166" s="16"/>
      <c r="BWC166" s="16"/>
      <c r="BWD166" s="16"/>
      <c r="BWE166" s="16"/>
      <c r="BWF166" s="16"/>
      <c r="BWG166" s="16"/>
      <c r="BWH166" s="16"/>
      <c r="BWI166" s="16"/>
      <c r="BWJ166" s="16"/>
      <c r="BWK166" s="16"/>
      <c r="BWL166" s="16"/>
      <c r="BWM166" s="16"/>
      <c r="BWN166" s="16"/>
      <c r="BWO166" s="16"/>
      <c r="BWP166" s="16"/>
      <c r="BWQ166" s="16"/>
      <c r="BWR166" s="16"/>
      <c r="BWS166" s="16"/>
      <c r="BWT166" s="16"/>
      <c r="BWU166" s="16"/>
      <c r="BWV166" s="16"/>
      <c r="BWW166" s="16"/>
      <c r="BWX166" s="16"/>
      <c r="BWY166" s="16"/>
      <c r="BWZ166" s="16"/>
      <c r="BXA166" s="16"/>
      <c r="BXB166" s="16"/>
      <c r="BXC166" s="16"/>
      <c r="BXD166" s="16"/>
      <c r="BXE166" s="16"/>
      <c r="BXF166" s="16"/>
      <c r="BXG166" s="16"/>
      <c r="BXH166" s="16"/>
      <c r="BXI166" s="16"/>
      <c r="BXJ166" s="16"/>
      <c r="BXK166" s="16"/>
      <c r="BXL166" s="16"/>
      <c r="BXM166" s="16"/>
      <c r="BXN166" s="16"/>
      <c r="BXO166" s="16"/>
      <c r="BXP166" s="16"/>
      <c r="BXQ166" s="16"/>
      <c r="BXR166" s="16"/>
      <c r="BXS166" s="16"/>
      <c r="BXT166" s="16"/>
      <c r="BXU166" s="16"/>
      <c r="BXV166" s="16"/>
      <c r="BXW166" s="16"/>
      <c r="BXX166" s="16"/>
      <c r="BXY166" s="16"/>
      <c r="BXZ166" s="16"/>
      <c r="BYA166" s="16"/>
      <c r="BYB166" s="16"/>
      <c r="BYC166" s="16"/>
      <c r="BYD166" s="16"/>
      <c r="BYE166" s="16"/>
      <c r="BYF166" s="16"/>
      <c r="BYG166" s="16"/>
      <c r="BYH166" s="16"/>
      <c r="BYI166" s="16"/>
      <c r="BYJ166" s="16"/>
      <c r="BYK166" s="16"/>
      <c r="BYL166" s="16"/>
      <c r="BYM166" s="16"/>
      <c r="BYN166" s="16"/>
      <c r="BYO166" s="16"/>
      <c r="BYP166" s="16"/>
      <c r="BYQ166" s="16"/>
      <c r="BYR166" s="16"/>
      <c r="BYS166" s="16"/>
      <c r="BYT166" s="16"/>
      <c r="BYU166" s="16"/>
      <c r="BYV166" s="16"/>
      <c r="BYW166" s="16"/>
      <c r="BYX166" s="16"/>
      <c r="BYY166" s="16"/>
      <c r="BYZ166" s="16"/>
      <c r="BZA166" s="16"/>
      <c r="BZB166" s="16"/>
      <c r="BZC166" s="16"/>
      <c r="BZD166" s="16"/>
      <c r="BZE166" s="16"/>
      <c r="BZF166" s="16"/>
      <c r="BZG166" s="16"/>
      <c r="BZH166" s="16"/>
      <c r="BZI166" s="16"/>
      <c r="BZJ166" s="16"/>
      <c r="BZK166" s="16"/>
      <c r="BZL166" s="16"/>
      <c r="BZM166" s="16"/>
      <c r="BZN166" s="16"/>
      <c r="BZO166" s="16"/>
      <c r="BZP166" s="16"/>
      <c r="BZQ166" s="16"/>
      <c r="BZR166" s="16"/>
      <c r="BZS166" s="16"/>
      <c r="BZT166" s="16"/>
      <c r="BZU166" s="16"/>
      <c r="BZV166" s="16"/>
      <c r="BZW166" s="16"/>
      <c r="BZX166" s="16"/>
      <c r="BZY166" s="16"/>
      <c r="BZZ166" s="16"/>
      <c r="CAA166" s="16"/>
      <c r="CAB166" s="16"/>
      <c r="CAC166" s="16"/>
      <c r="CAD166" s="16"/>
      <c r="CAE166" s="16"/>
      <c r="CAF166" s="16"/>
      <c r="CAG166" s="16"/>
      <c r="CAH166" s="16"/>
      <c r="CAI166" s="16"/>
      <c r="CAJ166" s="16"/>
      <c r="CAK166" s="16"/>
      <c r="CAL166" s="16"/>
      <c r="CAM166" s="16"/>
      <c r="CAN166" s="16"/>
      <c r="CAO166" s="16"/>
      <c r="CAP166" s="16"/>
      <c r="CAQ166" s="16"/>
      <c r="CAR166" s="16"/>
      <c r="CAS166" s="16"/>
      <c r="CAT166" s="16"/>
      <c r="CAU166" s="16"/>
      <c r="CAV166" s="16"/>
      <c r="CAW166" s="16"/>
      <c r="CAX166" s="16"/>
      <c r="CAY166" s="16"/>
      <c r="CAZ166" s="16"/>
      <c r="CBA166" s="16"/>
      <c r="CBB166" s="16"/>
      <c r="CBC166" s="16"/>
      <c r="CBD166" s="16"/>
      <c r="CBE166" s="16"/>
      <c r="CBF166" s="16"/>
      <c r="CBG166" s="16"/>
      <c r="CBH166" s="16"/>
      <c r="CBI166" s="16"/>
      <c r="CBJ166" s="16"/>
      <c r="CBK166" s="16"/>
      <c r="CBL166" s="16"/>
      <c r="CBM166" s="16"/>
      <c r="CBN166" s="16"/>
      <c r="CBO166" s="16"/>
      <c r="CBP166" s="16"/>
      <c r="CBQ166" s="16"/>
      <c r="CBR166" s="16"/>
      <c r="CBS166" s="16"/>
      <c r="CBT166" s="16"/>
      <c r="CBU166" s="16"/>
      <c r="CBV166" s="16"/>
      <c r="CBW166" s="16"/>
      <c r="CBX166" s="16"/>
      <c r="CBY166" s="16"/>
      <c r="CBZ166" s="16"/>
      <c r="CCA166" s="16"/>
      <c r="CCB166" s="16"/>
      <c r="CCC166" s="16"/>
      <c r="CCD166" s="16"/>
      <c r="CCE166" s="16"/>
      <c r="CCF166" s="16"/>
      <c r="CCG166" s="16"/>
      <c r="CCH166" s="16"/>
      <c r="CCI166" s="16"/>
      <c r="CCJ166" s="16"/>
      <c r="CCK166" s="16"/>
      <c r="CCL166" s="16"/>
      <c r="CCM166" s="16"/>
      <c r="CCN166" s="16"/>
      <c r="CCO166" s="16"/>
      <c r="CCP166" s="16"/>
      <c r="CCQ166" s="16"/>
      <c r="CCR166" s="16"/>
      <c r="CCS166" s="16"/>
      <c r="CCT166" s="16"/>
      <c r="CCU166" s="16"/>
      <c r="CCV166" s="16"/>
      <c r="CCW166" s="16"/>
      <c r="CCX166" s="16"/>
      <c r="CCY166" s="16"/>
      <c r="CCZ166" s="16"/>
      <c r="CDA166" s="16"/>
      <c r="CDB166" s="16"/>
      <c r="CDC166" s="16"/>
      <c r="CDD166" s="16"/>
      <c r="CDE166" s="16"/>
      <c r="CDF166" s="16"/>
      <c r="CDG166" s="16"/>
      <c r="CDH166" s="16"/>
      <c r="CDI166" s="16"/>
      <c r="CDJ166" s="16"/>
      <c r="CDK166" s="16"/>
      <c r="CDL166" s="16"/>
      <c r="CDM166" s="16"/>
      <c r="CDN166" s="16"/>
      <c r="CDO166" s="16"/>
      <c r="CDP166" s="16"/>
      <c r="CDQ166" s="16"/>
      <c r="CDR166" s="16"/>
      <c r="CDS166" s="16"/>
      <c r="CDT166" s="16"/>
      <c r="CDU166" s="16"/>
      <c r="CDV166" s="16"/>
      <c r="CDW166" s="16"/>
      <c r="CDX166" s="16"/>
      <c r="CDY166" s="16"/>
      <c r="CDZ166" s="16"/>
      <c r="CEA166" s="16"/>
      <c r="CEB166" s="16"/>
      <c r="CEC166" s="16"/>
      <c r="CED166" s="16"/>
      <c r="CEE166" s="16"/>
      <c r="CEF166" s="16"/>
      <c r="CEG166" s="16"/>
      <c r="CEH166" s="16"/>
      <c r="CEI166" s="16"/>
      <c r="CEJ166" s="16"/>
      <c r="CEK166" s="16"/>
      <c r="CEL166" s="16"/>
      <c r="CEM166" s="16"/>
      <c r="CEN166" s="16"/>
      <c r="CEO166" s="16"/>
      <c r="CEP166" s="16"/>
      <c r="CEQ166" s="16"/>
      <c r="CER166" s="16"/>
      <c r="CES166" s="16"/>
      <c r="CET166" s="16"/>
      <c r="CEU166" s="16"/>
      <c r="CEV166" s="16"/>
      <c r="CEW166" s="16"/>
      <c r="CEX166" s="16"/>
      <c r="CEY166" s="16"/>
      <c r="CEZ166" s="16"/>
      <c r="CFA166" s="16"/>
      <c r="CFB166" s="16"/>
      <c r="CFC166" s="16"/>
      <c r="CFD166" s="16"/>
      <c r="CFE166" s="16"/>
      <c r="CFF166" s="16"/>
      <c r="CFG166" s="16"/>
      <c r="CFH166" s="16"/>
      <c r="CFI166" s="16"/>
      <c r="CFJ166" s="16"/>
      <c r="CFK166" s="16"/>
      <c r="CFL166" s="16"/>
      <c r="CFM166" s="16"/>
      <c r="CFN166" s="16"/>
      <c r="CFO166" s="16"/>
      <c r="CFP166" s="16"/>
      <c r="CFQ166" s="16"/>
      <c r="CFR166" s="16"/>
      <c r="CFS166" s="16"/>
      <c r="CFT166" s="16"/>
      <c r="CFU166" s="16"/>
      <c r="CFV166" s="16"/>
      <c r="CFW166" s="16"/>
      <c r="CFX166" s="16"/>
      <c r="CFY166" s="16"/>
      <c r="CFZ166" s="16"/>
      <c r="CGA166" s="16"/>
      <c r="CGB166" s="16"/>
      <c r="CGC166" s="16"/>
      <c r="CGD166" s="16"/>
      <c r="CGE166" s="16"/>
      <c r="CGF166" s="16"/>
      <c r="CGG166" s="16"/>
      <c r="CGH166" s="16"/>
      <c r="CGI166" s="16"/>
      <c r="CGJ166" s="16"/>
      <c r="CGK166" s="16"/>
      <c r="CGL166" s="16"/>
      <c r="CGM166" s="16"/>
      <c r="CGN166" s="16"/>
      <c r="CGO166" s="16"/>
      <c r="CGP166" s="16"/>
      <c r="CGQ166" s="16"/>
      <c r="CGR166" s="16"/>
      <c r="CGS166" s="16"/>
      <c r="CGT166" s="16"/>
      <c r="CGU166" s="16"/>
      <c r="CGV166" s="16"/>
      <c r="CGW166" s="16"/>
      <c r="CGX166" s="16"/>
      <c r="CGY166" s="16"/>
      <c r="CGZ166" s="16"/>
      <c r="CHA166" s="16"/>
      <c r="CHB166" s="16"/>
      <c r="CHC166" s="16"/>
      <c r="CHD166" s="16"/>
      <c r="CHE166" s="16"/>
      <c r="CHF166" s="16"/>
      <c r="CHG166" s="16"/>
      <c r="CHH166" s="16"/>
      <c r="CHI166" s="16"/>
      <c r="CHJ166" s="16"/>
      <c r="CHK166" s="16"/>
      <c r="CHL166" s="16"/>
      <c r="CHM166" s="16"/>
      <c r="CHN166" s="16"/>
      <c r="CHO166" s="16"/>
      <c r="CHP166" s="16"/>
      <c r="CHQ166" s="16"/>
      <c r="CHR166" s="16"/>
      <c r="CHS166" s="16"/>
      <c r="CHT166" s="16"/>
      <c r="CHU166" s="16"/>
      <c r="CHV166" s="16"/>
      <c r="CHW166" s="16"/>
      <c r="CHX166" s="16"/>
      <c r="CHY166" s="16"/>
      <c r="CHZ166" s="16"/>
      <c r="CIA166" s="16"/>
      <c r="CIB166" s="16"/>
      <c r="CIC166" s="16"/>
      <c r="CID166" s="16"/>
      <c r="CIE166" s="16"/>
      <c r="CIF166" s="16"/>
      <c r="CIG166" s="16"/>
      <c r="CIH166" s="16"/>
      <c r="CII166" s="16"/>
      <c r="CIJ166" s="16"/>
      <c r="CIK166" s="16"/>
      <c r="CIL166" s="16"/>
      <c r="CIM166" s="16"/>
      <c r="CIN166" s="16"/>
      <c r="CIO166" s="16"/>
      <c r="CIP166" s="16"/>
      <c r="CIQ166" s="16"/>
      <c r="CIR166" s="16"/>
      <c r="CIS166" s="16"/>
      <c r="CIT166" s="16"/>
      <c r="CIU166" s="16"/>
      <c r="CIV166" s="16"/>
      <c r="CIW166" s="16"/>
      <c r="CIX166" s="16"/>
      <c r="CIY166" s="16"/>
      <c r="CIZ166" s="16"/>
      <c r="CJA166" s="16"/>
      <c r="CJB166" s="16"/>
      <c r="CJC166" s="16"/>
      <c r="CJD166" s="16"/>
      <c r="CJE166" s="16"/>
      <c r="CJF166" s="16"/>
      <c r="CJG166" s="16"/>
      <c r="CJH166" s="16"/>
      <c r="CJI166" s="16"/>
      <c r="CJJ166" s="16"/>
      <c r="CJK166" s="16"/>
      <c r="CJL166" s="16"/>
      <c r="CJM166" s="16"/>
      <c r="CJN166" s="16"/>
      <c r="CJO166" s="16"/>
      <c r="CJP166" s="16"/>
      <c r="CJQ166" s="16"/>
      <c r="CJR166" s="16"/>
      <c r="CJS166" s="16"/>
      <c r="CJT166" s="16"/>
      <c r="CJU166" s="16"/>
      <c r="CJV166" s="16"/>
      <c r="CJW166" s="16"/>
      <c r="CJX166" s="16"/>
      <c r="CJY166" s="16"/>
      <c r="CJZ166" s="16"/>
      <c r="CKA166" s="16"/>
      <c r="CKB166" s="16"/>
      <c r="CKC166" s="16"/>
      <c r="CKD166" s="16"/>
      <c r="CKE166" s="16"/>
      <c r="CKF166" s="16"/>
      <c r="CKG166" s="16"/>
      <c r="CKH166" s="16"/>
      <c r="CKI166" s="16"/>
      <c r="CKJ166" s="16"/>
      <c r="CKK166" s="16"/>
      <c r="CKL166" s="16"/>
      <c r="CKM166" s="16"/>
      <c r="CKN166" s="16"/>
      <c r="CKO166" s="16"/>
      <c r="CKP166" s="16"/>
      <c r="CKQ166" s="16"/>
      <c r="CKR166" s="16"/>
      <c r="CKS166" s="16"/>
      <c r="CKT166" s="16"/>
      <c r="CKU166" s="16"/>
      <c r="CKV166" s="16"/>
      <c r="CKW166" s="16"/>
      <c r="CKX166" s="16"/>
      <c r="CKY166" s="16"/>
      <c r="CKZ166" s="16"/>
      <c r="CLA166" s="16"/>
      <c r="CLB166" s="16"/>
      <c r="CLC166" s="16"/>
      <c r="CLD166" s="16"/>
      <c r="CLE166" s="16"/>
      <c r="CLF166" s="16"/>
      <c r="CLG166" s="16"/>
      <c r="CLH166" s="16"/>
      <c r="CLI166" s="16"/>
      <c r="CLJ166" s="16"/>
      <c r="CLK166" s="16"/>
      <c r="CLL166" s="16"/>
      <c r="CLM166" s="16"/>
      <c r="CLN166" s="16"/>
      <c r="CLO166" s="16"/>
      <c r="CLP166" s="16"/>
      <c r="CLQ166" s="16"/>
      <c r="CLR166" s="16"/>
      <c r="CLS166" s="16"/>
      <c r="CLT166" s="16"/>
      <c r="CLU166" s="16"/>
      <c r="CLV166" s="16"/>
      <c r="CLW166" s="16"/>
      <c r="CLX166" s="16"/>
      <c r="CLY166" s="16"/>
      <c r="CLZ166" s="16"/>
      <c r="CMA166" s="16"/>
      <c r="CMB166" s="16"/>
      <c r="CMC166" s="16"/>
      <c r="CMD166" s="16"/>
      <c r="CME166" s="16"/>
      <c r="CMF166" s="16"/>
      <c r="CMG166" s="16"/>
      <c r="CMH166" s="16"/>
      <c r="CMI166" s="16"/>
      <c r="CMJ166" s="16"/>
      <c r="CMK166" s="16"/>
      <c r="CML166" s="16"/>
      <c r="CMM166" s="16"/>
      <c r="CMN166" s="16"/>
      <c r="CMO166" s="16"/>
      <c r="CMP166" s="16"/>
      <c r="CMQ166" s="16"/>
      <c r="CMR166" s="16"/>
      <c r="CMS166" s="16"/>
      <c r="CMT166" s="16"/>
      <c r="CMU166" s="16"/>
      <c r="CMV166" s="16"/>
      <c r="CMW166" s="16"/>
      <c r="CMX166" s="16"/>
      <c r="CMY166" s="16"/>
      <c r="CMZ166" s="16"/>
      <c r="CNA166" s="16"/>
      <c r="CNB166" s="16"/>
      <c r="CNC166" s="16"/>
      <c r="CND166" s="16"/>
      <c r="CNE166" s="16"/>
      <c r="CNF166" s="16"/>
      <c r="CNG166" s="16"/>
      <c r="CNH166" s="16"/>
      <c r="CNI166" s="16"/>
      <c r="CNJ166" s="16"/>
      <c r="CNK166" s="16"/>
      <c r="CNL166" s="16"/>
      <c r="CNM166" s="16"/>
      <c r="CNN166" s="16"/>
      <c r="CNO166" s="16"/>
      <c r="CNP166" s="16"/>
      <c r="CNQ166" s="16"/>
      <c r="CNR166" s="16"/>
      <c r="CNS166" s="16"/>
      <c r="CNT166" s="16"/>
      <c r="CNU166" s="16"/>
      <c r="CNV166" s="16"/>
      <c r="CNW166" s="16"/>
      <c r="CNX166" s="16"/>
      <c r="CNY166" s="16"/>
      <c r="CNZ166" s="16"/>
      <c r="COA166" s="16"/>
      <c r="COB166" s="16"/>
      <c r="COC166" s="16"/>
      <c r="COD166" s="16"/>
      <c r="COE166" s="16"/>
      <c r="COF166" s="16"/>
      <c r="COG166" s="16"/>
      <c r="COH166" s="16"/>
      <c r="COI166" s="16"/>
      <c r="COJ166" s="16"/>
      <c r="COK166" s="16"/>
      <c r="COL166" s="16"/>
      <c r="COM166" s="16"/>
      <c r="CON166" s="16"/>
      <c r="COO166" s="16"/>
      <c r="COP166" s="16"/>
      <c r="COQ166" s="16"/>
      <c r="COR166" s="16"/>
      <c r="COS166" s="16"/>
      <c r="COT166" s="16"/>
      <c r="COU166" s="16"/>
      <c r="COV166" s="16"/>
      <c r="COW166" s="16"/>
      <c r="COX166" s="16"/>
      <c r="COY166" s="16"/>
      <c r="COZ166" s="16"/>
      <c r="CPA166" s="16"/>
      <c r="CPB166" s="16"/>
      <c r="CPC166" s="16"/>
      <c r="CPD166" s="16"/>
      <c r="CPE166" s="16"/>
      <c r="CPF166" s="16"/>
      <c r="CPG166" s="16"/>
      <c r="CPH166" s="16"/>
      <c r="CPI166" s="16"/>
      <c r="CPJ166" s="16"/>
      <c r="CPK166" s="16"/>
      <c r="CPL166" s="16"/>
      <c r="CPM166" s="16"/>
      <c r="CPN166" s="16"/>
      <c r="CPO166" s="16"/>
      <c r="CPP166" s="16"/>
      <c r="CPQ166" s="16"/>
      <c r="CPR166" s="16"/>
      <c r="CPS166" s="16"/>
      <c r="CPT166" s="16"/>
      <c r="CPU166" s="16"/>
      <c r="CPV166" s="16"/>
      <c r="CPW166" s="16"/>
      <c r="CPX166" s="16"/>
      <c r="CPY166" s="16"/>
      <c r="CPZ166" s="16"/>
      <c r="CQA166" s="16"/>
      <c r="CQB166" s="16"/>
      <c r="CQC166" s="16"/>
      <c r="CQD166" s="16"/>
      <c r="CQE166" s="16"/>
      <c r="CQF166" s="16"/>
      <c r="CQG166" s="16"/>
      <c r="CQH166" s="16"/>
      <c r="CQI166" s="16"/>
      <c r="CQJ166" s="16"/>
      <c r="CQK166" s="16"/>
      <c r="CQL166" s="16"/>
      <c r="CQM166" s="16"/>
      <c r="CQN166" s="16"/>
      <c r="CQO166" s="16"/>
      <c r="CQP166" s="16"/>
      <c r="CQQ166" s="16"/>
      <c r="CQR166" s="16"/>
      <c r="CQS166" s="16"/>
      <c r="CQT166" s="16"/>
      <c r="CQU166" s="16"/>
      <c r="CQV166" s="16"/>
      <c r="CQW166" s="16"/>
      <c r="CQX166" s="16"/>
      <c r="CQY166" s="16"/>
      <c r="CQZ166" s="16"/>
      <c r="CRA166" s="16"/>
      <c r="CRB166" s="16"/>
      <c r="CRC166" s="16"/>
      <c r="CRD166" s="16"/>
      <c r="CRE166" s="16"/>
      <c r="CRF166" s="16"/>
      <c r="CRG166" s="16"/>
      <c r="CRH166" s="16"/>
      <c r="CRI166" s="16"/>
      <c r="CRJ166" s="16"/>
      <c r="CRK166" s="16"/>
      <c r="CRL166" s="16"/>
      <c r="CRM166" s="16"/>
      <c r="CRN166" s="16"/>
      <c r="CRO166" s="16"/>
      <c r="CRP166" s="16"/>
      <c r="CRQ166" s="16"/>
      <c r="CRR166" s="16"/>
      <c r="CRS166" s="16"/>
      <c r="CRT166" s="16"/>
      <c r="CRU166" s="16"/>
      <c r="CRV166" s="16"/>
      <c r="CRW166" s="16"/>
      <c r="CRX166" s="16"/>
      <c r="CRY166" s="16"/>
      <c r="CRZ166" s="16"/>
      <c r="CSA166" s="16"/>
      <c r="CSB166" s="16"/>
      <c r="CSC166" s="16"/>
      <c r="CSD166" s="16"/>
      <c r="CSE166" s="16"/>
      <c r="CSF166" s="16"/>
      <c r="CSG166" s="16"/>
      <c r="CSH166" s="16"/>
      <c r="CSI166" s="16"/>
      <c r="CSJ166" s="16"/>
      <c r="CSK166" s="16"/>
      <c r="CSL166" s="16"/>
      <c r="CSM166" s="16"/>
      <c r="CSN166" s="16"/>
      <c r="CSO166" s="16"/>
      <c r="CSP166" s="16"/>
      <c r="CSQ166" s="16"/>
      <c r="CSR166" s="16"/>
      <c r="CSS166" s="16"/>
      <c r="CST166" s="16"/>
      <c r="CSU166" s="16"/>
      <c r="CSV166" s="16"/>
      <c r="CSW166" s="16"/>
      <c r="CSX166" s="16"/>
      <c r="CSY166" s="16"/>
      <c r="CSZ166" s="16"/>
      <c r="CTA166" s="16"/>
      <c r="CTB166" s="16"/>
      <c r="CTC166" s="16"/>
      <c r="CTD166" s="16"/>
      <c r="CTE166" s="16"/>
      <c r="CTF166" s="16"/>
      <c r="CTG166" s="16"/>
      <c r="CTH166" s="16"/>
      <c r="CTI166" s="16"/>
      <c r="CTJ166" s="16"/>
      <c r="CTK166" s="16"/>
      <c r="CTL166" s="16"/>
      <c r="CTM166" s="16"/>
      <c r="CTN166" s="16"/>
      <c r="CTO166" s="16"/>
      <c r="CTP166" s="16"/>
      <c r="CTQ166" s="16"/>
      <c r="CTR166" s="16"/>
      <c r="CTS166" s="16"/>
      <c r="CTT166" s="16"/>
      <c r="CTU166" s="16"/>
      <c r="CTV166" s="16"/>
      <c r="CTW166" s="16"/>
      <c r="CTX166" s="16"/>
      <c r="CTY166" s="16"/>
      <c r="CTZ166" s="16"/>
      <c r="CUA166" s="16"/>
      <c r="CUB166" s="16"/>
      <c r="CUC166" s="16"/>
      <c r="CUD166" s="16"/>
      <c r="CUE166" s="16"/>
      <c r="CUF166" s="16"/>
      <c r="CUG166" s="16"/>
      <c r="CUH166" s="16"/>
      <c r="CUI166" s="16"/>
      <c r="CUJ166" s="16"/>
      <c r="CUK166" s="16"/>
      <c r="CUL166" s="16"/>
      <c r="CUM166" s="16"/>
      <c r="CUN166" s="16"/>
      <c r="CUO166" s="16"/>
      <c r="CUP166" s="16"/>
      <c r="CUQ166" s="16"/>
      <c r="CUR166" s="16"/>
      <c r="CUS166" s="16"/>
      <c r="CUT166" s="16"/>
      <c r="CUU166" s="16"/>
      <c r="CUV166" s="16"/>
      <c r="CUW166" s="16"/>
      <c r="CUX166" s="16"/>
      <c r="CUY166" s="16"/>
      <c r="CUZ166" s="16"/>
      <c r="CVA166" s="16"/>
      <c r="CVB166" s="16"/>
      <c r="CVC166" s="16"/>
      <c r="CVD166" s="16"/>
      <c r="CVE166" s="16"/>
      <c r="CVF166" s="16"/>
      <c r="CVG166" s="16"/>
      <c r="CVH166" s="16"/>
      <c r="CVI166" s="16"/>
      <c r="CVJ166" s="16"/>
      <c r="CVK166" s="16"/>
      <c r="CVL166" s="16"/>
      <c r="CVM166" s="16"/>
      <c r="CVN166" s="16"/>
      <c r="CVO166" s="16"/>
      <c r="CVP166" s="16"/>
      <c r="CVQ166" s="16"/>
      <c r="CVR166" s="16"/>
      <c r="CVS166" s="16"/>
      <c r="CVT166" s="16"/>
      <c r="CVU166" s="16"/>
      <c r="CVV166" s="16"/>
      <c r="CVW166" s="16"/>
      <c r="CVX166" s="16"/>
      <c r="CVY166" s="16"/>
      <c r="CVZ166" s="16"/>
      <c r="CWA166" s="16"/>
      <c r="CWB166" s="16"/>
      <c r="CWC166" s="16"/>
      <c r="CWD166" s="16"/>
      <c r="CWE166" s="16"/>
      <c r="CWF166" s="16"/>
      <c r="CWG166" s="16"/>
      <c r="CWH166" s="16"/>
      <c r="CWI166" s="16"/>
      <c r="CWJ166" s="16"/>
      <c r="CWK166" s="16"/>
      <c r="CWL166" s="16"/>
      <c r="CWM166" s="16"/>
      <c r="CWN166" s="16"/>
      <c r="CWO166" s="16"/>
      <c r="CWP166" s="16"/>
      <c r="CWQ166" s="16"/>
      <c r="CWR166" s="16"/>
      <c r="CWS166" s="16"/>
      <c r="CWT166" s="16"/>
      <c r="CWU166" s="16"/>
      <c r="CWV166" s="16"/>
      <c r="CWW166" s="16"/>
      <c r="CWX166" s="16"/>
      <c r="CWY166" s="16"/>
      <c r="CWZ166" s="16"/>
      <c r="CXA166" s="16"/>
      <c r="CXB166" s="16"/>
      <c r="CXC166" s="16"/>
      <c r="CXD166" s="16"/>
      <c r="CXE166" s="16"/>
      <c r="CXF166" s="16"/>
      <c r="CXG166" s="16"/>
      <c r="CXH166" s="16"/>
      <c r="CXI166" s="16"/>
      <c r="CXJ166" s="16"/>
      <c r="CXK166" s="16"/>
      <c r="CXL166" s="16"/>
      <c r="CXM166" s="16"/>
      <c r="CXN166" s="16"/>
      <c r="CXO166" s="16"/>
      <c r="CXP166" s="16"/>
      <c r="CXQ166" s="16"/>
      <c r="CXR166" s="16"/>
      <c r="CXS166" s="16"/>
      <c r="CXT166" s="16"/>
      <c r="CXU166" s="16"/>
      <c r="CXV166" s="16"/>
      <c r="CXW166" s="16"/>
      <c r="CXX166" s="16"/>
      <c r="CXY166" s="16"/>
      <c r="CXZ166" s="16"/>
      <c r="CYA166" s="16"/>
      <c r="CYB166" s="16"/>
      <c r="CYC166" s="16"/>
      <c r="CYD166" s="16"/>
      <c r="CYE166" s="16"/>
      <c r="CYF166" s="16"/>
      <c r="CYG166" s="16"/>
      <c r="CYH166" s="16"/>
      <c r="CYI166" s="16"/>
      <c r="CYJ166" s="16"/>
      <c r="CYK166" s="16"/>
      <c r="CYL166" s="16"/>
      <c r="CYM166" s="16"/>
      <c r="CYN166" s="16"/>
      <c r="CYO166" s="16"/>
      <c r="CYP166" s="16"/>
      <c r="CYQ166" s="16"/>
      <c r="CYR166" s="16"/>
      <c r="CYS166" s="16"/>
      <c r="CYT166" s="16"/>
      <c r="CYU166" s="16"/>
      <c r="CYV166" s="16"/>
      <c r="CYW166" s="16"/>
      <c r="CYX166" s="16"/>
      <c r="CYY166" s="16"/>
      <c r="CYZ166" s="16"/>
      <c r="CZA166" s="16"/>
      <c r="CZB166" s="16"/>
      <c r="CZC166" s="16"/>
      <c r="CZD166" s="16"/>
      <c r="CZE166" s="16"/>
      <c r="CZF166" s="16"/>
      <c r="CZG166" s="16"/>
      <c r="CZH166" s="16"/>
      <c r="CZI166" s="16"/>
      <c r="CZJ166" s="16"/>
      <c r="CZK166" s="16"/>
      <c r="CZL166" s="16"/>
      <c r="CZM166" s="16"/>
      <c r="CZN166" s="16"/>
      <c r="CZO166" s="16"/>
      <c r="CZP166" s="16"/>
      <c r="CZQ166" s="16"/>
      <c r="CZR166" s="16"/>
      <c r="CZS166" s="16"/>
      <c r="CZT166" s="16"/>
      <c r="CZU166" s="16"/>
      <c r="CZV166" s="16"/>
      <c r="CZW166" s="16"/>
      <c r="CZX166" s="16"/>
      <c r="CZY166" s="16"/>
      <c r="CZZ166" s="16"/>
      <c r="DAA166" s="16"/>
      <c r="DAB166" s="16"/>
      <c r="DAC166" s="16"/>
      <c r="DAD166" s="16"/>
      <c r="DAE166" s="16"/>
      <c r="DAF166" s="16"/>
      <c r="DAG166" s="16"/>
      <c r="DAH166" s="16"/>
      <c r="DAI166" s="16"/>
      <c r="DAJ166" s="16"/>
      <c r="DAK166" s="16"/>
      <c r="DAL166" s="16"/>
      <c r="DAM166" s="16"/>
      <c r="DAN166" s="16"/>
      <c r="DAO166" s="16"/>
      <c r="DAP166" s="16"/>
      <c r="DAQ166" s="16"/>
      <c r="DAR166" s="16"/>
      <c r="DAS166" s="16"/>
      <c r="DAT166" s="16"/>
      <c r="DAU166" s="16"/>
      <c r="DAV166" s="16"/>
      <c r="DAW166" s="16"/>
      <c r="DAX166" s="16"/>
      <c r="DAY166" s="16"/>
      <c r="DAZ166" s="16"/>
      <c r="DBA166" s="16"/>
      <c r="DBB166" s="16"/>
      <c r="DBC166" s="16"/>
      <c r="DBD166" s="16"/>
      <c r="DBE166" s="16"/>
      <c r="DBF166" s="16"/>
      <c r="DBG166" s="16"/>
      <c r="DBH166" s="16"/>
      <c r="DBI166" s="16"/>
      <c r="DBJ166" s="16"/>
      <c r="DBK166" s="16"/>
      <c r="DBL166" s="16"/>
      <c r="DBM166" s="16"/>
      <c r="DBN166" s="16"/>
      <c r="DBO166" s="16"/>
      <c r="DBP166" s="16"/>
      <c r="DBQ166" s="16"/>
      <c r="DBR166" s="16"/>
      <c r="DBS166" s="16"/>
      <c r="DBT166" s="16"/>
      <c r="DBU166" s="16"/>
      <c r="DBV166" s="16"/>
      <c r="DBW166" s="16"/>
      <c r="DBX166" s="16"/>
      <c r="DBY166" s="16"/>
      <c r="DBZ166" s="16"/>
      <c r="DCA166" s="16"/>
      <c r="DCB166" s="16"/>
      <c r="DCC166" s="16"/>
      <c r="DCD166" s="16"/>
      <c r="DCE166" s="16"/>
      <c r="DCF166" s="16"/>
      <c r="DCG166" s="16"/>
      <c r="DCH166" s="16"/>
      <c r="DCI166" s="16"/>
      <c r="DCJ166" s="16"/>
      <c r="DCK166" s="16"/>
      <c r="DCL166" s="16"/>
      <c r="DCM166" s="16"/>
      <c r="DCN166" s="16"/>
      <c r="DCO166" s="16"/>
      <c r="DCP166" s="16"/>
      <c r="DCQ166" s="16"/>
      <c r="DCR166" s="16"/>
      <c r="DCS166" s="16"/>
      <c r="DCT166" s="16"/>
      <c r="DCU166" s="16"/>
      <c r="DCV166" s="16"/>
      <c r="DCW166" s="16"/>
      <c r="DCX166" s="16"/>
      <c r="DCY166" s="16"/>
      <c r="DCZ166" s="16"/>
      <c r="DDA166" s="16"/>
      <c r="DDB166" s="16"/>
      <c r="DDC166" s="16"/>
      <c r="DDD166" s="16"/>
      <c r="DDE166" s="16"/>
      <c r="DDF166" s="16"/>
      <c r="DDG166" s="16"/>
      <c r="DDH166" s="16"/>
      <c r="DDI166" s="16"/>
      <c r="DDJ166" s="16"/>
      <c r="DDK166" s="16"/>
      <c r="DDL166" s="16"/>
      <c r="DDM166" s="16"/>
      <c r="DDN166" s="16"/>
      <c r="DDO166" s="16"/>
      <c r="DDP166" s="16"/>
      <c r="DDQ166" s="16"/>
      <c r="DDR166" s="16"/>
      <c r="DDS166" s="16"/>
      <c r="DDT166" s="16"/>
      <c r="DDU166" s="16"/>
      <c r="DDV166" s="16"/>
      <c r="DDW166" s="16"/>
      <c r="DDX166" s="16"/>
      <c r="DDY166" s="16"/>
      <c r="DDZ166" s="16"/>
      <c r="DEA166" s="16"/>
      <c r="DEB166" s="16"/>
      <c r="DEC166" s="16"/>
      <c r="DED166" s="16"/>
      <c r="DEE166" s="16"/>
      <c r="DEF166" s="16"/>
      <c r="DEG166" s="16"/>
      <c r="DEH166" s="16"/>
      <c r="DEI166" s="16"/>
      <c r="DEJ166" s="16"/>
      <c r="DEK166" s="16"/>
      <c r="DEL166" s="16"/>
      <c r="DEM166" s="16"/>
      <c r="DEN166" s="16"/>
      <c r="DEO166" s="16"/>
      <c r="DEP166" s="16"/>
      <c r="DEQ166" s="16"/>
      <c r="DER166" s="16"/>
      <c r="DES166" s="16"/>
      <c r="DET166" s="16"/>
      <c r="DEU166" s="16"/>
      <c r="DEV166" s="16"/>
      <c r="DEW166" s="16"/>
      <c r="DEX166" s="16"/>
      <c r="DEY166" s="16"/>
      <c r="DEZ166" s="16"/>
      <c r="DFA166" s="16"/>
      <c r="DFB166" s="16"/>
      <c r="DFC166" s="16"/>
      <c r="DFD166" s="16"/>
      <c r="DFE166" s="16"/>
      <c r="DFF166" s="16"/>
      <c r="DFG166" s="16"/>
      <c r="DFH166" s="16"/>
      <c r="DFI166" s="16"/>
      <c r="DFJ166" s="16"/>
      <c r="DFK166" s="16"/>
      <c r="DFL166" s="16"/>
      <c r="DFM166" s="16"/>
      <c r="DFN166" s="16"/>
      <c r="DFO166" s="16"/>
      <c r="DFP166" s="16"/>
      <c r="DFQ166" s="16"/>
      <c r="DFR166" s="16"/>
      <c r="DFS166" s="16"/>
      <c r="DFT166" s="16"/>
      <c r="DFU166" s="16"/>
      <c r="DFV166" s="16"/>
      <c r="DFW166" s="16"/>
      <c r="DFX166" s="16"/>
      <c r="DFY166" s="16"/>
      <c r="DFZ166" s="16"/>
      <c r="DGA166" s="16"/>
      <c r="DGB166" s="16"/>
      <c r="DGC166" s="16"/>
      <c r="DGD166" s="16"/>
      <c r="DGE166" s="16"/>
      <c r="DGF166" s="16"/>
      <c r="DGG166" s="16"/>
      <c r="DGH166" s="16"/>
      <c r="DGI166" s="16"/>
      <c r="DGJ166" s="16"/>
      <c r="DGK166" s="16"/>
      <c r="DGL166" s="16"/>
      <c r="DGM166" s="16"/>
      <c r="DGN166" s="16"/>
      <c r="DGO166" s="16"/>
      <c r="DGP166" s="16"/>
      <c r="DGQ166" s="16"/>
      <c r="DGR166" s="16"/>
      <c r="DGS166" s="16"/>
      <c r="DGT166" s="16"/>
      <c r="DGU166" s="16"/>
      <c r="DGV166" s="16"/>
      <c r="DGW166" s="16"/>
      <c r="DGX166" s="16"/>
      <c r="DGY166" s="16"/>
      <c r="DGZ166" s="16"/>
      <c r="DHA166" s="16"/>
      <c r="DHB166" s="16"/>
      <c r="DHC166" s="16"/>
      <c r="DHD166" s="16"/>
      <c r="DHE166" s="16"/>
      <c r="DHF166" s="16"/>
      <c r="DHG166" s="16"/>
      <c r="DHH166" s="16"/>
      <c r="DHI166" s="16"/>
      <c r="DHJ166" s="16"/>
      <c r="DHK166" s="16"/>
      <c r="DHL166" s="16"/>
      <c r="DHM166" s="16"/>
      <c r="DHN166" s="16"/>
      <c r="DHO166" s="16"/>
      <c r="DHP166" s="16"/>
      <c r="DHQ166" s="16"/>
      <c r="DHR166" s="16"/>
      <c r="DHS166" s="16"/>
      <c r="DHT166" s="16"/>
      <c r="DHU166" s="16"/>
      <c r="DHV166" s="16"/>
      <c r="DHW166" s="16"/>
      <c r="DHX166" s="16"/>
      <c r="DHY166" s="16"/>
      <c r="DHZ166" s="16"/>
      <c r="DIA166" s="16"/>
      <c r="DIB166" s="16"/>
      <c r="DIC166" s="16"/>
      <c r="DID166" s="16"/>
      <c r="DIE166" s="16"/>
      <c r="DIF166" s="16"/>
      <c r="DIG166" s="16"/>
      <c r="DIH166" s="16"/>
      <c r="DII166" s="16"/>
      <c r="DIJ166" s="16"/>
      <c r="DIK166" s="16"/>
      <c r="DIL166" s="16"/>
      <c r="DIM166" s="16"/>
      <c r="DIN166" s="16"/>
      <c r="DIO166" s="16"/>
      <c r="DIP166" s="16"/>
      <c r="DIQ166" s="16"/>
      <c r="DIR166" s="16"/>
      <c r="DIS166" s="16"/>
      <c r="DIT166" s="16"/>
      <c r="DIU166" s="16"/>
      <c r="DIV166" s="16"/>
      <c r="DIW166" s="16"/>
      <c r="DIX166" s="16"/>
      <c r="DIY166" s="16"/>
      <c r="DIZ166" s="16"/>
      <c r="DJA166" s="16"/>
      <c r="DJB166" s="16"/>
      <c r="DJC166" s="16"/>
      <c r="DJD166" s="16"/>
      <c r="DJE166" s="16"/>
      <c r="DJF166" s="16"/>
      <c r="DJG166" s="16"/>
      <c r="DJH166" s="16"/>
      <c r="DJI166" s="16"/>
      <c r="DJJ166" s="16"/>
      <c r="DJK166" s="16"/>
      <c r="DJL166" s="16"/>
      <c r="DJM166" s="16"/>
      <c r="DJN166" s="16"/>
      <c r="DJO166" s="16"/>
      <c r="DJP166" s="16"/>
      <c r="DJQ166" s="16"/>
      <c r="DJR166" s="16"/>
      <c r="DJS166" s="16"/>
      <c r="DJT166" s="16"/>
      <c r="DJU166" s="16"/>
      <c r="DJV166" s="16"/>
      <c r="DJW166" s="16"/>
      <c r="DJX166" s="16"/>
      <c r="DJY166" s="16"/>
      <c r="DJZ166" s="16"/>
      <c r="DKA166" s="16"/>
      <c r="DKB166" s="16"/>
      <c r="DKC166" s="16"/>
      <c r="DKD166" s="16"/>
      <c r="DKE166" s="16"/>
      <c r="DKF166" s="16"/>
      <c r="DKG166" s="16"/>
      <c r="DKH166" s="16"/>
      <c r="DKI166" s="16"/>
      <c r="DKJ166" s="16"/>
      <c r="DKK166" s="16"/>
      <c r="DKL166" s="16"/>
      <c r="DKM166" s="16"/>
      <c r="DKN166" s="16"/>
      <c r="DKO166" s="16"/>
      <c r="DKP166" s="16"/>
      <c r="DKQ166" s="16"/>
      <c r="DKR166" s="16"/>
      <c r="DKS166" s="16"/>
      <c r="DKT166" s="16"/>
      <c r="DKU166" s="16"/>
      <c r="DKV166" s="16"/>
      <c r="DKW166" s="16"/>
      <c r="DKX166" s="16"/>
      <c r="DKY166" s="16"/>
      <c r="DKZ166" s="16"/>
      <c r="DLA166" s="16"/>
      <c r="DLB166" s="16"/>
      <c r="DLC166" s="16"/>
      <c r="DLD166" s="16"/>
      <c r="DLE166" s="16"/>
      <c r="DLF166" s="16"/>
      <c r="DLG166" s="16"/>
      <c r="DLH166" s="16"/>
      <c r="DLI166" s="16"/>
      <c r="DLJ166" s="16"/>
      <c r="DLK166" s="16"/>
      <c r="DLL166" s="16"/>
      <c r="DLM166" s="16"/>
      <c r="DLN166" s="16"/>
      <c r="DLO166" s="16"/>
      <c r="DLP166" s="16"/>
      <c r="DLQ166" s="16"/>
      <c r="DLR166" s="16"/>
      <c r="DLS166" s="16"/>
      <c r="DLT166" s="16"/>
      <c r="DLU166" s="16"/>
      <c r="DLV166" s="16"/>
      <c r="DLW166" s="16"/>
      <c r="DLX166" s="16"/>
      <c r="DLY166" s="16"/>
      <c r="DLZ166" s="16"/>
      <c r="DMA166" s="16"/>
      <c r="DMB166" s="16"/>
      <c r="DMC166" s="16"/>
      <c r="DMD166" s="16"/>
      <c r="DME166" s="16"/>
      <c r="DMF166" s="16"/>
      <c r="DMG166" s="16"/>
      <c r="DMH166" s="16"/>
      <c r="DMI166" s="16"/>
      <c r="DMJ166" s="16"/>
      <c r="DMK166" s="16"/>
      <c r="DML166" s="16"/>
      <c r="DMM166" s="16"/>
      <c r="DMN166" s="16"/>
      <c r="DMO166" s="16"/>
      <c r="DMP166" s="16"/>
      <c r="DMQ166" s="16"/>
      <c r="DMR166" s="16"/>
      <c r="DMS166" s="16"/>
      <c r="DMT166" s="16"/>
      <c r="DMU166" s="16"/>
      <c r="DMV166" s="16"/>
      <c r="DMW166" s="16"/>
      <c r="DMX166" s="16"/>
      <c r="DMY166" s="16"/>
      <c r="DMZ166" s="16"/>
      <c r="DNA166" s="16"/>
      <c r="DNB166" s="16"/>
      <c r="DNC166" s="16"/>
      <c r="DND166" s="16"/>
      <c r="DNE166" s="16"/>
      <c r="DNF166" s="16"/>
      <c r="DNG166" s="16"/>
      <c r="DNH166" s="16"/>
      <c r="DNI166" s="16"/>
      <c r="DNJ166" s="16"/>
      <c r="DNK166" s="16"/>
      <c r="DNL166" s="16"/>
      <c r="DNM166" s="16"/>
      <c r="DNN166" s="16"/>
      <c r="DNO166" s="16"/>
      <c r="DNP166" s="16"/>
      <c r="DNQ166" s="16"/>
      <c r="DNR166" s="16"/>
      <c r="DNS166" s="16"/>
      <c r="DNT166" s="16"/>
      <c r="DNU166" s="16"/>
      <c r="DNV166" s="16"/>
      <c r="DNW166" s="16"/>
      <c r="DNX166" s="16"/>
      <c r="DNY166" s="16"/>
      <c r="DNZ166" s="16"/>
      <c r="DOA166" s="16"/>
      <c r="DOB166" s="16"/>
      <c r="DOC166" s="16"/>
      <c r="DOD166" s="16"/>
      <c r="DOE166" s="16"/>
      <c r="DOF166" s="16"/>
      <c r="DOG166" s="16"/>
      <c r="DOH166" s="16"/>
      <c r="DOI166" s="16"/>
      <c r="DOJ166" s="16"/>
      <c r="DOK166" s="16"/>
      <c r="DOL166" s="16"/>
      <c r="DOM166" s="16"/>
      <c r="DON166" s="16"/>
      <c r="DOO166" s="16"/>
      <c r="DOP166" s="16"/>
      <c r="DOQ166" s="16"/>
      <c r="DOR166" s="16"/>
      <c r="DOS166" s="16"/>
      <c r="DOT166" s="16"/>
      <c r="DOU166" s="16"/>
      <c r="DOV166" s="16"/>
      <c r="DOW166" s="16"/>
      <c r="DOX166" s="16"/>
      <c r="DOY166" s="16"/>
      <c r="DOZ166" s="16"/>
      <c r="DPA166" s="16"/>
      <c r="DPB166" s="16"/>
      <c r="DPC166" s="16"/>
      <c r="DPD166" s="16"/>
      <c r="DPE166" s="16"/>
      <c r="DPF166" s="16"/>
      <c r="DPG166" s="16"/>
      <c r="DPH166" s="16"/>
      <c r="DPI166" s="16"/>
      <c r="DPJ166" s="16"/>
      <c r="DPK166" s="16"/>
      <c r="DPL166" s="16"/>
      <c r="DPM166" s="16"/>
      <c r="DPN166" s="16"/>
      <c r="DPO166" s="16"/>
      <c r="DPP166" s="16"/>
      <c r="DPQ166" s="16"/>
      <c r="DPR166" s="16"/>
      <c r="DPS166" s="16"/>
      <c r="DPT166" s="16"/>
      <c r="DPU166" s="16"/>
      <c r="DPV166" s="16"/>
      <c r="DPW166" s="16"/>
      <c r="DPX166" s="16"/>
      <c r="DPY166" s="16"/>
      <c r="DPZ166" s="16"/>
      <c r="DQA166" s="16"/>
      <c r="DQB166" s="16"/>
      <c r="DQC166" s="16"/>
      <c r="DQD166" s="16"/>
      <c r="DQE166" s="16"/>
      <c r="DQF166" s="16"/>
      <c r="DQG166" s="16"/>
      <c r="DQH166" s="16"/>
      <c r="DQI166" s="16"/>
      <c r="DQJ166" s="16"/>
      <c r="DQK166" s="16"/>
      <c r="DQL166" s="16"/>
      <c r="DQM166" s="16"/>
      <c r="DQN166" s="16"/>
      <c r="DQO166" s="16"/>
      <c r="DQP166" s="16"/>
      <c r="DQQ166" s="16"/>
      <c r="DQR166" s="16"/>
      <c r="DQS166" s="16"/>
      <c r="DQT166" s="16"/>
      <c r="DQU166" s="16"/>
      <c r="DQV166" s="16"/>
      <c r="DQW166" s="16"/>
      <c r="DQX166" s="16"/>
      <c r="DQY166" s="16"/>
      <c r="DQZ166" s="16"/>
      <c r="DRA166" s="16"/>
      <c r="DRB166" s="16"/>
      <c r="DRC166" s="16"/>
      <c r="DRD166" s="16"/>
      <c r="DRE166" s="16"/>
      <c r="DRF166" s="16"/>
      <c r="DRG166" s="16"/>
      <c r="DRH166" s="16"/>
      <c r="DRI166" s="16"/>
      <c r="DRJ166" s="16"/>
      <c r="DRK166" s="16"/>
      <c r="DRL166" s="16"/>
      <c r="DRM166" s="16"/>
      <c r="DRN166" s="16"/>
      <c r="DRO166" s="16"/>
      <c r="DRP166" s="16"/>
      <c r="DRQ166" s="16"/>
      <c r="DRR166" s="16"/>
      <c r="DRS166" s="16"/>
      <c r="DRT166" s="16"/>
      <c r="DRU166" s="16"/>
      <c r="DRV166" s="16"/>
      <c r="DRW166" s="16"/>
      <c r="DRX166" s="16"/>
      <c r="DRY166" s="16"/>
      <c r="DRZ166" s="16"/>
      <c r="DSA166" s="16"/>
      <c r="DSB166" s="16"/>
      <c r="DSC166" s="16"/>
      <c r="DSD166" s="16"/>
      <c r="DSE166" s="16"/>
      <c r="DSF166" s="16"/>
      <c r="DSG166" s="16"/>
      <c r="DSH166" s="16"/>
      <c r="DSI166" s="16"/>
      <c r="DSJ166" s="16"/>
      <c r="DSK166" s="16"/>
      <c r="DSL166" s="16"/>
      <c r="DSM166" s="16"/>
      <c r="DSN166" s="16"/>
      <c r="DSO166" s="16"/>
      <c r="DSP166" s="16"/>
      <c r="DSQ166" s="16"/>
      <c r="DSR166" s="16"/>
      <c r="DSS166" s="16"/>
      <c r="DST166" s="16"/>
      <c r="DSU166" s="16"/>
      <c r="DSV166" s="16"/>
      <c r="DSW166" s="16"/>
      <c r="DSX166" s="16"/>
      <c r="DSY166" s="16"/>
      <c r="DSZ166" s="16"/>
      <c r="DTA166" s="16"/>
      <c r="DTB166" s="16"/>
      <c r="DTC166" s="16"/>
      <c r="DTD166" s="16"/>
      <c r="DTE166" s="16"/>
      <c r="DTF166" s="16"/>
      <c r="DTG166" s="16"/>
      <c r="DTH166" s="16"/>
      <c r="DTI166" s="16"/>
      <c r="DTJ166" s="16"/>
      <c r="DTK166" s="16"/>
      <c r="DTL166" s="16"/>
      <c r="DTM166" s="16"/>
      <c r="DTN166" s="16"/>
      <c r="DTO166" s="16"/>
      <c r="DTP166" s="16"/>
      <c r="DTQ166" s="16"/>
      <c r="DTR166" s="16"/>
      <c r="DTS166" s="16"/>
      <c r="DTT166" s="16"/>
      <c r="DTU166" s="16"/>
      <c r="DTV166" s="16"/>
      <c r="DTW166" s="16"/>
      <c r="DTX166" s="16"/>
      <c r="DTY166" s="16"/>
      <c r="DTZ166" s="16"/>
      <c r="DUA166" s="16"/>
      <c r="DUB166" s="16"/>
      <c r="DUC166" s="16"/>
      <c r="DUD166" s="16"/>
      <c r="DUE166" s="16"/>
      <c r="DUF166" s="16"/>
      <c r="DUG166" s="16"/>
      <c r="DUH166" s="16"/>
      <c r="DUI166" s="16"/>
      <c r="DUJ166" s="16"/>
      <c r="DUK166" s="16"/>
      <c r="DUL166" s="16"/>
      <c r="DUM166" s="16"/>
      <c r="DUN166" s="16"/>
      <c r="DUO166" s="16"/>
      <c r="DUP166" s="16"/>
      <c r="DUQ166" s="16"/>
      <c r="DUR166" s="16"/>
      <c r="DUS166" s="16"/>
      <c r="DUT166" s="16"/>
      <c r="DUU166" s="16"/>
      <c r="DUV166" s="16"/>
      <c r="DUW166" s="16"/>
      <c r="DUX166" s="16"/>
      <c r="DUY166" s="16"/>
      <c r="DUZ166" s="16"/>
      <c r="DVA166" s="16"/>
      <c r="DVB166" s="16"/>
      <c r="DVC166" s="16"/>
      <c r="DVD166" s="16"/>
      <c r="DVE166" s="16"/>
      <c r="DVF166" s="16"/>
      <c r="DVG166" s="16"/>
      <c r="DVH166" s="16"/>
      <c r="DVI166" s="16"/>
      <c r="DVJ166" s="16"/>
      <c r="DVK166" s="16"/>
      <c r="DVL166" s="16"/>
      <c r="DVM166" s="16"/>
      <c r="DVN166" s="16"/>
      <c r="DVO166" s="16"/>
      <c r="DVP166" s="16"/>
      <c r="DVQ166" s="16"/>
      <c r="DVR166" s="16"/>
      <c r="DVS166" s="16"/>
      <c r="DVT166" s="16"/>
      <c r="DVU166" s="16"/>
      <c r="DVV166" s="16"/>
      <c r="DVW166" s="16"/>
      <c r="DVX166" s="16"/>
      <c r="DVY166" s="16"/>
      <c r="DVZ166" s="16"/>
      <c r="DWA166" s="16"/>
      <c r="DWB166" s="16"/>
      <c r="DWC166" s="16"/>
      <c r="DWD166" s="16"/>
      <c r="DWE166" s="16"/>
      <c r="DWF166" s="16"/>
      <c r="DWG166" s="16"/>
      <c r="DWH166" s="16"/>
      <c r="DWI166" s="16"/>
      <c r="DWJ166" s="16"/>
      <c r="DWK166" s="16"/>
      <c r="DWL166" s="16"/>
      <c r="DWM166" s="16"/>
      <c r="DWN166" s="16"/>
      <c r="DWO166" s="16"/>
      <c r="DWP166" s="16"/>
      <c r="DWQ166" s="16"/>
      <c r="DWR166" s="16"/>
      <c r="DWS166" s="16"/>
      <c r="DWT166" s="16"/>
      <c r="DWU166" s="16"/>
      <c r="DWV166" s="16"/>
      <c r="DWW166" s="16"/>
      <c r="DWX166" s="16"/>
      <c r="DWY166" s="16"/>
      <c r="DWZ166" s="16"/>
      <c r="DXA166" s="16"/>
      <c r="DXB166" s="16"/>
      <c r="DXC166" s="16"/>
    </row>
    <row r="167" spans="1:3331" s="28" customFormat="1" x14ac:dyDescent="0.2">
      <c r="A167" s="14">
        <v>159</v>
      </c>
      <c r="B167" s="28" t="s">
        <v>252</v>
      </c>
      <c r="C167" s="14" t="s">
        <v>784</v>
      </c>
      <c r="F167" s="83" t="s">
        <v>950</v>
      </c>
      <c r="G167" s="83" t="s">
        <v>662</v>
      </c>
      <c r="H167" s="83">
        <v>0.67499999999999982</v>
      </c>
      <c r="I167" s="83">
        <v>55299.836761363629</v>
      </c>
      <c r="J167" s="96" t="s">
        <v>957</v>
      </c>
      <c r="K167" s="96" t="s">
        <v>662</v>
      </c>
      <c r="L167" s="96">
        <v>0.38249999999999984</v>
      </c>
      <c r="M167" s="96">
        <v>31336.574164772715</v>
      </c>
      <c r="N167" s="83" t="s">
        <v>952</v>
      </c>
      <c r="O167" s="83" t="s">
        <v>662</v>
      </c>
      <c r="P167" s="83">
        <v>0.41500000000000004</v>
      </c>
      <c r="Q167" s="83">
        <v>33999.158897727277</v>
      </c>
      <c r="R167" s="96" t="s">
        <v>965</v>
      </c>
      <c r="S167" s="96" t="s">
        <v>662</v>
      </c>
      <c r="T167" s="96">
        <v>0.38125000000000009</v>
      </c>
      <c r="U167" s="96">
        <v>31234.167059659099</v>
      </c>
      <c r="V167" s="83" t="s">
        <v>945</v>
      </c>
      <c r="W167" s="83" t="s">
        <v>662</v>
      </c>
      <c r="X167" s="83">
        <v>0.44749999999999979</v>
      </c>
      <c r="Y167" s="83">
        <v>36661.743630681805</v>
      </c>
      <c r="Z167" s="96" t="s">
        <v>946</v>
      </c>
      <c r="AA167" s="96" t="s">
        <v>662</v>
      </c>
      <c r="AB167" s="96">
        <v>0.55750000000000011</v>
      </c>
      <c r="AC167" s="96">
        <v>45673.568880681829</v>
      </c>
      <c r="AD167" s="83"/>
      <c r="AE167" s="83"/>
      <c r="AF167" s="83"/>
      <c r="AG167" s="83"/>
      <c r="AH167" s="96"/>
      <c r="AI167" s="96"/>
      <c r="AJ167" s="96"/>
      <c r="AK167" s="96"/>
      <c r="AL167" s="83"/>
      <c r="AM167" s="83"/>
      <c r="AN167" s="83"/>
      <c r="AO167" s="83"/>
      <c r="AP167" s="96"/>
      <c r="AQ167" s="96"/>
      <c r="AR167" s="96"/>
      <c r="AS167" s="96"/>
      <c r="AT167" s="83"/>
      <c r="AU167" s="83"/>
      <c r="AV167" s="83"/>
      <c r="AW167" s="83"/>
      <c r="AX167" s="96"/>
      <c r="AY167" s="96"/>
      <c r="AZ167" s="96"/>
      <c r="BA167" s="96"/>
      <c r="BB167" s="83"/>
      <c r="BC167" s="83"/>
      <c r="BD167" s="83"/>
      <c r="BE167" s="83"/>
      <c r="BF167" s="96"/>
      <c r="BG167" s="96"/>
      <c r="BH167" s="96"/>
      <c r="BI167" s="96"/>
      <c r="BJ167" s="83"/>
      <c r="BK167" s="83"/>
      <c r="BL167" s="83"/>
      <c r="BM167" s="83"/>
      <c r="BN167" s="96"/>
      <c r="BO167" s="96"/>
      <c r="BP167" s="96"/>
      <c r="BQ167" s="96"/>
      <c r="BR167" s="83"/>
      <c r="BS167" s="83"/>
      <c r="BT167" s="83"/>
      <c r="BU167" s="83"/>
      <c r="BV167" s="96"/>
      <c r="BW167" s="96"/>
      <c r="BX167" s="96"/>
      <c r="BY167" s="96"/>
      <c r="BZ167" s="83"/>
      <c r="CA167" s="83"/>
      <c r="CB167" s="83"/>
      <c r="CC167" s="83"/>
      <c r="CD167" s="96"/>
      <c r="CE167" s="96"/>
      <c r="CF167" s="96"/>
      <c r="CG167" s="96"/>
      <c r="CH167" s="83"/>
      <c r="CI167" s="83"/>
      <c r="CJ167" s="83"/>
      <c r="CK167" s="83"/>
      <c r="CL167" s="96"/>
      <c r="CM167" s="96"/>
      <c r="CN167" s="96"/>
      <c r="CO167" s="96"/>
      <c r="CP167" s="83"/>
      <c r="CQ167" s="83"/>
      <c r="CR167" s="83"/>
      <c r="CS167" s="83"/>
      <c r="CT167" s="96"/>
      <c r="CU167" s="96"/>
      <c r="CV167" s="96"/>
      <c r="CW167" s="96"/>
      <c r="CX167" s="83"/>
      <c r="CY167" s="83"/>
      <c r="CZ167" s="83"/>
      <c r="DA167" s="83"/>
      <c r="DB167" s="96">
        <v>81925.684090909097</v>
      </c>
      <c r="DC167" s="83">
        <v>234205.04939488633</v>
      </c>
      <c r="DD167" s="96"/>
      <c r="DE167" s="104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  <c r="EF167" s="16"/>
      <c r="EG167" s="16"/>
      <c r="EH167" s="16"/>
      <c r="EI167" s="16"/>
      <c r="EJ167" s="16"/>
      <c r="EK167" s="16"/>
      <c r="EL167" s="16"/>
      <c r="EM167" s="16"/>
      <c r="EN167" s="16"/>
      <c r="EO167" s="16"/>
      <c r="EP167" s="16"/>
      <c r="EQ167" s="16"/>
      <c r="ER167" s="16"/>
      <c r="ES167" s="16"/>
      <c r="ET167" s="16"/>
      <c r="EU167" s="16"/>
      <c r="EV167" s="16"/>
      <c r="EW167" s="16"/>
      <c r="EX167" s="16"/>
      <c r="EY167" s="16"/>
      <c r="EZ167" s="16"/>
      <c r="FA167" s="16"/>
      <c r="FB167" s="16"/>
      <c r="FC167" s="16"/>
      <c r="FD167" s="16"/>
      <c r="FE167" s="16"/>
      <c r="FF167" s="16"/>
      <c r="FG167" s="16"/>
      <c r="FH167" s="16"/>
      <c r="FI167" s="16"/>
      <c r="FJ167" s="16"/>
      <c r="FK167" s="16"/>
      <c r="FL167" s="16"/>
      <c r="FM167" s="16"/>
      <c r="FN167" s="16"/>
      <c r="FO167" s="16"/>
      <c r="FP167" s="16"/>
      <c r="FQ167" s="16"/>
      <c r="FR167" s="16"/>
      <c r="FS167" s="16"/>
      <c r="FT167" s="16"/>
      <c r="FU167" s="16"/>
      <c r="FV167" s="16"/>
      <c r="FW167" s="16"/>
      <c r="FX167" s="16"/>
      <c r="FY167" s="16"/>
      <c r="FZ167" s="16"/>
      <c r="GA167" s="16"/>
      <c r="GB167" s="16"/>
      <c r="GC167" s="16"/>
      <c r="GD167" s="16"/>
      <c r="GE167" s="16"/>
      <c r="GF167" s="16"/>
      <c r="GG167" s="16"/>
      <c r="GH167" s="16"/>
      <c r="GI167" s="16"/>
      <c r="GJ167" s="16"/>
      <c r="GK167" s="16"/>
      <c r="GL167" s="16"/>
      <c r="GM167" s="16"/>
      <c r="GN167" s="16"/>
      <c r="GO167" s="16"/>
      <c r="GP167" s="16"/>
      <c r="GQ167" s="16"/>
      <c r="GR167" s="16"/>
      <c r="GS167" s="16"/>
      <c r="GT167" s="16"/>
      <c r="GU167" s="16"/>
      <c r="GV167" s="16"/>
      <c r="GW167" s="16"/>
      <c r="GX167" s="16"/>
      <c r="GY167" s="16"/>
      <c r="GZ167" s="16"/>
      <c r="HA167" s="16"/>
      <c r="HB167" s="16"/>
      <c r="HC167" s="16"/>
      <c r="HD167" s="16"/>
      <c r="HE167" s="16"/>
      <c r="HF167" s="16"/>
      <c r="HG167" s="16"/>
      <c r="HH167" s="16"/>
      <c r="HI167" s="16"/>
      <c r="HJ167" s="16"/>
      <c r="HK167" s="16"/>
      <c r="HL167" s="16"/>
      <c r="HM167" s="16"/>
      <c r="HN167" s="16"/>
      <c r="HO167" s="16"/>
      <c r="HP167" s="16"/>
      <c r="HQ167" s="16"/>
      <c r="HR167" s="16"/>
      <c r="HS167" s="16"/>
      <c r="HT167" s="16"/>
      <c r="HU167" s="16"/>
      <c r="HV167" s="16"/>
      <c r="HW167" s="16"/>
      <c r="HX167" s="16"/>
      <c r="HY167" s="16"/>
      <c r="HZ167" s="16"/>
      <c r="IA167" s="16"/>
      <c r="IB167" s="16"/>
      <c r="IC167" s="16"/>
      <c r="ID167" s="16"/>
      <c r="IE167" s="16"/>
      <c r="IF167" s="16"/>
      <c r="IG167" s="16"/>
      <c r="IH167" s="16"/>
      <c r="II167" s="16"/>
      <c r="IJ167" s="16"/>
      <c r="IK167" s="16"/>
      <c r="IL167" s="16"/>
      <c r="IM167" s="16"/>
      <c r="IN167" s="16"/>
      <c r="IO167" s="16"/>
      <c r="IP167" s="16"/>
      <c r="IQ167" s="16"/>
      <c r="IR167" s="16"/>
      <c r="IS167" s="16"/>
      <c r="IT167" s="16"/>
      <c r="IU167" s="16"/>
      <c r="IV167" s="16"/>
      <c r="IW167" s="16"/>
      <c r="IX167" s="16"/>
      <c r="IY167" s="16"/>
      <c r="IZ167" s="16"/>
      <c r="JA167" s="16"/>
      <c r="JB167" s="16"/>
      <c r="JC167" s="16"/>
      <c r="JD167" s="16"/>
      <c r="JE167" s="16"/>
      <c r="JF167" s="16"/>
      <c r="JG167" s="16"/>
      <c r="JH167" s="16"/>
      <c r="JI167" s="16"/>
      <c r="JJ167" s="16"/>
      <c r="JK167" s="16"/>
      <c r="JL167" s="16"/>
      <c r="JM167" s="16"/>
      <c r="JN167" s="16"/>
      <c r="JO167" s="16"/>
      <c r="JP167" s="16"/>
      <c r="JQ167" s="16"/>
      <c r="JR167" s="16"/>
      <c r="JS167" s="16"/>
      <c r="JT167" s="16"/>
      <c r="JU167" s="16"/>
      <c r="JV167" s="16"/>
      <c r="JW167" s="16"/>
      <c r="JX167" s="16"/>
      <c r="JY167" s="16"/>
      <c r="JZ167" s="16"/>
      <c r="KA167" s="16"/>
      <c r="KB167" s="16"/>
      <c r="KC167" s="16"/>
      <c r="KD167" s="16"/>
      <c r="KE167" s="16"/>
      <c r="KF167" s="16"/>
      <c r="KG167" s="16"/>
      <c r="KH167" s="16"/>
      <c r="KI167" s="16"/>
      <c r="KJ167" s="16"/>
      <c r="KK167" s="16"/>
      <c r="KL167" s="16"/>
      <c r="KM167" s="16"/>
      <c r="KN167" s="16"/>
      <c r="KO167" s="16"/>
      <c r="KP167" s="16"/>
      <c r="KQ167" s="16"/>
      <c r="KR167" s="16"/>
      <c r="KS167" s="16"/>
      <c r="KT167" s="16"/>
      <c r="KU167" s="16"/>
      <c r="KV167" s="16"/>
      <c r="KW167" s="16"/>
      <c r="KX167" s="16"/>
      <c r="KY167" s="16"/>
      <c r="KZ167" s="16"/>
      <c r="LA167" s="16"/>
      <c r="LB167" s="16"/>
      <c r="LC167" s="16"/>
      <c r="LD167" s="16"/>
      <c r="LE167" s="16"/>
      <c r="LF167" s="16"/>
      <c r="LG167" s="16"/>
      <c r="LH167" s="16"/>
      <c r="LI167" s="16"/>
      <c r="LJ167" s="16"/>
      <c r="LK167" s="16"/>
      <c r="LL167" s="16"/>
      <c r="LM167" s="16"/>
      <c r="LN167" s="16"/>
      <c r="LO167" s="16"/>
      <c r="LP167" s="16"/>
      <c r="LQ167" s="16"/>
      <c r="LR167" s="16"/>
      <c r="LS167" s="16"/>
      <c r="LT167" s="16"/>
      <c r="LU167" s="16"/>
      <c r="LV167" s="16"/>
      <c r="LW167" s="16"/>
      <c r="LX167" s="16"/>
      <c r="LY167" s="16"/>
      <c r="LZ167" s="16"/>
      <c r="MA167" s="16"/>
      <c r="MB167" s="16"/>
      <c r="MC167" s="16"/>
      <c r="MD167" s="16"/>
      <c r="ME167" s="16"/>
      <c r="MF167" s="16"/>
      <c r="MG167" s="16"/>
      <c r="MH167" s="16"/>
      <c r="MI167" s="16"/>
      <c r="MJ167" s="16"/>
      <c r="MK167" s="16"/>
      <c r="ML167" s="16"/>
      <c r="MM167" s="16"/>
      <c r="MN167" s="16"/>
      <c r="MO167" s="16"/>
      <c r="MP167" s="16"/>
      <c r="MQ167" s="16"/>
      <c r="MR167" s="16"/>
      <c r="MS167" s="16"/>
      <c r="MT167" s="16"/>
      <c r="MU167" s="16"/>
      <c r="MV167" s="16"/>
      <c r="MW167" s="16"/>
      <c r="MX167" s="16"/>
      <c r="MY167" s="16"/>
      <c r="MZ167" s="16"/>
      <c r="NA167" s="16"/>
      <c r="NB167" s="16"/>
      <c r="NC167" s="16"/>
      <c r="ND167" s="16"/>
      <c r="NE167" s="16"/>
      <c r="NF167" s="16"/>
      <c r="NG167" s="16"/>
      <c r="NH167" s="16"/>
      <c r="NI167" s="16"/>
      <c r="NJ167" s="16"/>
      <c r="NK167" s="16"/>
      <c r="NL167" s="16"/>
      <c r="NM167" s="16"/>
      <c r="NN167" s="16"/>
      <c r="NO167" s="16"/>
      <c r="NP167" s="16"/>
      <c r="NQ167" s="16"/>
      <c r="NR167" s="16"/>
      <c r="NS167" s="16"/>
      <c r="NT167" s="16"/>
      <c r="NU167" s="16"/>
      <c r="NV167" s="16"/>
      <c r="NW167" s="16"/>
      <c r="NX167" s="16"/>
      <c r="NY167" s="16"/>
      <c r="NZ167" s="16"/>
      <c r="OA167" s="16"/>
      <c r="OB167" s="16"/>
      <c r="OC167" s="16"/>
      <c r="OD167" s="16"/>
      <c r="OE167" s="16"/>
      <c r="OF167" s="16"/>
      <c r="OG167" s="16"/>
      <c r="OH167" s="16"/>
      <c r="OI167" s="16"/>
      <c r="OJ167" s="16"/>
      <c r="OK167" s="16"/>
      <c r="OL167" s="16"/>
      <c r="OM167" s="16"/>
      <c r="ON167" s="16"/>
      <c r="OO167" s="16"/>
      <c r="OP167" s="16"/>
      <c r="OQ167" s="16"/>
      <c r="OR167" s="16"/>
      <c r="OS167" s="16"/>
      <c r="OT167" s="16"/>
      <c r="OU167" s="16"/>
      <c r="OV167" s="16"/>
      <c r="OW167" s="16"/>
      <c r="OX167" s="16"/>
      <c r="OY167" s="16"/>
      <c r="OZ167" s="16"/>
      <c r="PA167" s="16"/>
      <c r="PB167" s="16"/>
      <c r="PC167" s="16"/>
      <c r="PD167" s="16"/>
      <c r="PE167" s="16"/>
      <c r="PF167" s="16"/>
      <c r="PG167" s="16"/>
      <c r="PH167" s="16"/>
      <c r="PI167" s="16"/>
      <c r="PJ167" s="16"/>
      <c r="PK167" s="16"/>
      <c r="PL167" s="16"/>
      <c r="PM167" s="16"/>
      <c r="PN167" s="16"/>
      <c r="PO167" s="16"/>
      <c r="PP167" s="16"/>
      <c r="PQ167" s="16"/>
      <c r="PR167" s="16"/>
      <c r="PS167" s="16"/>
      <c r="PT167" s="16"/>
      <c r="PU167" s="16"/>
      <c r="PV167" s="16"/>
      <c r="PW167" s="16"/>
      <c r="PX167" s="16"/>
      <c r="PY167" s="16"/>
      <c r="PZ167" s="16"/>
      <c r="QA167" s="16"/>
      <c r="QB167" s="16"/>
      <c r="QC167" s="16"/>
      <c r="QD167" s="16"/>
      <c r="QE167" s="16"/>
      <c r="QF167" s="16"/>
      <c r="QG167" s="16"/>
      <c r="QH167" s="16"/>
      <c r="QI167" s="16"/>
      <c r="QJ167" s="16"/>
      <c r="QK167" s="16"/>
      <c r="QL167" s="16"/>
      <c r="QM167" s="16"/>
      <c r="QN167" s="16"/>
      <c r="QO167" s="16"/>
      <c r="QP167" s="16"/>
      <c r="QQ167" s="16"/>
      <c r="QR167" s="16"/>
      <c r="QS167" s="16"/>
      <c r="QT167" s="16"/>
      <c r="QU167" s="16"/>
      <c r="QV167" s="16"/>
      <c r="QW167" s="16"/>
      <c r="QX167" s="16"/>
      <c r="QY167" s="16"/>
      <c r="QZ167" s="16"/>
      <c r="RA167" s="16"/>
      <c r="RB167" s="16"/>
      <c r="RC167" s="16"/>
      <c r="RD167" s="16"/>
      <c r="RE167" s="16"/>
      <c r="RF167" s="16"/>
      <c r="RG167" s="16"/>
      <c r="RH167" s="16"/>
      <c r="RI167" s="16"/>
      <c r="RJ167" s="16"/>
      <c r="RK167" s="16"/>
      <c r="RL167" s="16"/>
      <c r="RM167" s="16"/>
      <c r="RN167" s="16"/>
      <c r="RO167" s="16"/>
      <c r="RP167" s="16"/>
      <c r="RQ167" s="16"/>
      <c r="RR167" s="16"/>
      <c r="RS167" s="16"/>
      <c r="RT167" s="16"/>
      <c r="RU167" s="16"/>
      <c r="RV167" s="16"/>
      <c r="RW167" s="16"/>
      <c r="RX167" s="16"/>
      <c r="RY167" s="16"/>
      <c r="RZ167" s="16"/>
      <c r="SA167" s="16"/>
      <c r="SB167" s="16"/>
      <c r="SC167" s="16"/>
      <c r="SD167" s="16"/>
      <c r="SE167" s="16"/>
      <c r="SF167" s="16"/>
      <c r="SG167" s="16"/>
      <c r="SH167" s="16"/>
      <c r="SI167" s="16"/>
      <c r="SJ167" s="16"/>
      <c r="SK167" s="16"/>
      <c r="SL167" s="16"/>
      <c r="SM167" s="16"/>
      <c r="SN167" s="16"/>
      <c r="SO167" s="16"/>
      <c r="SP167" s="16"/>
      <c r="SQ167" s="16"/>
      <c r="SR167" s="16"/>
      <c r="SS167" s="16"/>
      <c r="ST167" s="16"/>
      <c r="SU167" s="16"/>
      <c r="SV167" s="16"/>
      <c r="SW167" s="16"/>
      <c r="SX167" s="16"/>
      <c r="SY167" s="16"/>
      <c r="SZ167" s="16"/>
      <c r="TA167" s="16"/>
      <c r="TB167" s="16"/>
      <c r="TC167" s="16"/>
      <c r="TD167" s="16"/>
      <c r="TE167" s="16"/>
      <c r="TF167" s="16"/>
      <c r="TG167" s="16"/>
      <c r="TH167" s="16"/>
      <c r="TI167" s="16"/>
      <c r="TJ167" s="16"/>
      <c r="TK167" s="16"/>
      <c r="TL167" s="16"/>
      <c r="TM167" s="16"/>
      <c r="TN167" s="16"/>
      <c r="TO167" s="16"/>
      <c r="TP167" s="16"/>
      <c r="TQ167" s="16"/>
      <c r="TR167" s="16"/>
      <c r="TS167" s="16"/>
      <c r="TT167" s="16"/>
      <c r="TU167" s="16"/>
      <c r="TV167" s="16"/>
      <c r="TW167" s="16"/>
      <c r="TX167" s="16"/>
      <c r="TY167" s="16"/>
      <c r="TZ167" s="16"/>
      <c r="UA167" s="16"/>
      <c r="UB167" s="16"/>
      <c r="UC167" s="16"/>
      <c r="UD167" s="16"/>
      <c r="UE167" s="16"/>
      <c r="UF167" s="16"/>
      <c r="UG167" s="16"/>
      <c r="UH167" s="16"/>
      <c r="UI167" s="16"/>
      <c r="UJ167" s="16"/>
      <c r="UK167" s="16"/>
      <c r="UL167" s="16"/>
      <c r="UM167" s="16"/>
      <c r="UN167" s="16"/>
      <c r="UO167" s="16"/>
      <c r="UP167" s="16"/>
      <c r="UQ167" s="16"/>
      <c r="UR167" s="16"/>
      <c r="US167" s="16"/>
      <c r="UT167" s="16"/>
      <c r="UU167" s="16"/>
      <c r="UV167" s="16"/>
      <c r="UW167" s="16"/>
      <c r="UX167" s="16"/>
      <c r="UY167" s="16"/>
      <c r="UZ167" s="16"/>
      <c r="VA167" s="16"/>
      <c r="VB167" s="16"/>
      <c r="VC167" s="16"/>
      <c r="VD167" s="16"/>
      <c r="VE167" s="16"/>
      <c r="VF167" s="16"/>
      <c r="VG167" s="16"/>
      <c r="VH167" s="16"/>
      <c r="VI167" s="16"/>
      <c r="VJ167" s="16"/>
      <c r="VK167" s="16"/>
      <c r="VL167" s="16"/>
      <c r="VM167" s="16"/>
      <c r="VN167" s="16"/>
      <c r="VO167" s="16"/>
      <c r="VP167" s="16"/>
      <c r="VQ167" s="16"/>
      <c r="VR167" s="16"/>
      <c r="VS167" s="16"/>
      <c r="VT167" s="16"/>
      <c r="VU167" s="16"/>
      <c r="VV167" s="16"/>
      <c r="VW167" s="16"/>
      <c r="VX167" s="16"/>
      <c r="VY167" s="16"/>
      <c r="VZ167" s="16"/>
      <c r="WA167" s="16"/>
      <c r="WB167" s="16"/>
      <c r="WC167" s="16"/>
      <c r="WD167" s="16"/>
      <c r="WE167" s="16"/>
      <c r="WF167" s="16"/>
      <c r="WG167" s="16"/>
      <c r="WH167" s="16"/>
      <c r="WI167" s="16"/>
      <c r="WJ167" s="16"/>
      <c r="WK167" s="16"/>
      <c r="WL167" s="16"/>
      <c r="WM167" s="16"/>
      <c r="WN167" s="16"/>
      <c r="WO167" s="16"/>
      <c r="WP167" s="16"/>
      <c r="WQ167" s="16"/>
      <c r="WR167" s="16"/>
      <c r="WS167" s="16"/>
      <c r="WT167" s="16"/>
      <c r="WU167" s="16"/>
      <c r="WV167" s="16"/>
      <c r="WW167" s="16"/>
      <c r="WX167" s="16"/>
      <c r="WY167" s="16"/>
      <c r="WZ167" s="16"/>
      <c r="XA167" s="16"/>
      <c r="XB167" s="16"/>
      <c r="XC167" s="16"/>
      <c r="XD167" s="16"/>
      <c r="XE167" s="16"/>
      <c r="XF167" s="16"/>
      <c r="XG167" s="16"/>
      <c r="XH167" s="16"/>
      <c r="XI167" s="16"/>
      <c r="XJ167" s="16"/>
      <c r="XK167" s="16"/>
      <c r="XL167" s="16"/>
      <c r="XM167" s="16"/>
      <c r="XN167" s="16"/>
      <c r="XO167" s="16"/>
      <c r="XP167" s="16"/>
      <c r="XQ167" s="16"/>
      <c r="XR167" s="16"/>
      <c r="XS167" s="16"/>
      <c r="XT167" s="16"/>
      <c r="XU167" s="16"/>
      <c r="XV167" s="16"/>
      <c r="XW167" s="16"/>
      <c r="XX167" s="16"/>
      <c r="XY167" s="16"/>
      <c r="XZ167" s="16"/>
      <c r="YA167" s="16"/>
      <c r="YB167" s="16"/>
      <c r="YC167" s="16"/>
      <c r="YD167" s="16"/>
      <c r="YE167" s="16"/>
      <c r="YF167" s="16"/>
      <c r="YG167" s="16"/>
      <c r="YH167" s="16"/>
      <c r="YI167" s="16"/>
      <c r="YJ167" s="16"/>
      <c r="YK167" s="16"/>
      <c r="YL167" s="16"/>
      <c r="YM167" s="16"/>
      <c r="YN167" s="16"/>
      <c r="YO167" s="16"/>
      <c r="YP167" s="16"/>
      <c r="YQ167" s="16"/>
      <c r="YR167" s="16"/>
      <c r="YS167" s="16"/>
      <c r="YT167" s="16"/>
      <c r="YU167" s="16"/>
      <c r="YV167" s="16"/>
      <c r="YW167" s="16"/>
      <c r="YX167" s="16"/>
      <c r="YY167" s="16"/>
      <c r="YZ167" s="16"/>
      <c r="ZA167" s="16"/>
      <c r="ZB167" s="16"/>
      <c r="ZC167" s="16"/>
      <c r="ZD167" s="16"/>
      <c r="ZE167" s="16"/>
      <c r="ZF167" s="16"/>
      <c r="ZG167" s="16"/>
      <c r="ZH167" s="16"/>
      <c r="ZI167" s="16"/>
      <c r="ZJ167" s="16"/>
      <c r="ZK167" s="16"/>
      <c r="ZL167" s="16"/>
      <c r="ZM167" s="16"/>
      <c r="ZN167" s="16"/>
      <c r="ZO167" s="16"/>
      <c r="ZP167" s="16"/>
      <c r="ZQ167" s="16"/>
      <c r="ZR167" s="16"/>
      <c r="ZS167" s="16"/>
      <c r="ZT167" s="16"/>
      <c r="ZU167" s="16"/>
      <c r="ZV167" s="16"/>
      <c r="ZW167" s="16"/>
      <c r="ZX167" s="16"/>
      <c r="ZY167" s="16"/>
      <c r="ZZ167" s="16"/>
      <c r="AAA167" s="16"/>
      <c r="AAB167" s="16"/>
      <c r="AAC167" s="16"/>
      <c r="AAD167" s="16"/>
      <c r="AAE167" s="16"/>
      <c r="AAF167" s="16"/>
      <c r="AAG167" s="16"/>
      <c r="AAH167" s="16"/>
      <c r="AAI167" s="16"/>
      <c r="AAJ167" s="16"/>
      <c r="AAK167" s="16"/>
      <c r="AAL167" s="16"/>
      <c r="AAM167" s="16"/>
      <c r="AAN167" s="16"/>
      <c r="AAO167" s="16"/>
      <c r="AAP167" s="16"/>
      <c r="AAQ167" s="16"/>
      <c r="AAR167" s="16"/>
      <c r="AAS167" s="16"/>
      <c r="AAT167" s="16"/>
      <c r="AAU167" s="16"/>
      <c r="AAV167" s="16"/>
      <c r="AAW167" s="16"/>
      <c r="AAX167" s="16"/>
      <c r="AAY167" s="16"/>
      <c r="AAZ167" s="16"/>
      <c r="ABA167" s="16"/>
      <c r="ABB167" s="16"/>
      <c r="ABC167" s="16"/>
      <c r="ABD167" s="16"/>
      <c r="ABE167" s="16"/>
      <c r="ABF167" s="16"/>
      <c r="ABG167" s="16"/>
      <c r="ABH167" s="16"/>
      <c r="ABI167" s="16"/>
      <c r="ABJ167" s="16"/>
      <c r="ABK167" s="16"/>
      <c r="ABL167" s="16"/>
      <c r="ABM167" s="16"/>
      <c r="ABN167" s="16"/>
      <c r="ABO167" s="16"/>
      <c r="ABP167" s="16"/>
      <c r="ABQ167" s="16"/>
      <c r="ABR167" s="16"/>
      <c r="ABS167" s="16"/>
      <c r="ABT167" s="16"/>
      <c r="ABU167" s="16"/>
      <c r="ABV167" s="16"/>
      <c r="ABW167" s="16"/>
      <c r="ABX167" s="16"/>
      <c r="ABY167" s="16"/>
      <c r="ABZ167" s="16"/>
      <c r="ACA167" s="16"/>
      <c r="ACB167" s="16"/>
      <c r="ACC167" s="16"/>
      <c r="ACD167" s="16"/>
      <c r="ACE167" s="16"/>
      <c r="ACF167" s="16"/>
      <c r="ACG167" s="16"/>
      <c r="ACH167" s="16"/>
      <c r="ACI167" s="16"/>
      <c r="ACJ167" s="16"/>
      <c r="ACK167" s="16"/>
      <c r="ACL167" s="16"/>
      <c r="ACM167" s="16"/>
      <c r="ACN167" s="16"/>
      <c r="ACO167" s="16"/>
      <c r="ACP167" s="16"/>
      <c r="ACQ167" s="16"/>
      <c r="ACR167" s="16"/>
      <c r="ACS167" s="16"/>
      <c r="ACT167" s="16"/>
      <c r="ACU167" s="16"/>
      <c r="ACV167" s="16"/>
      <c r="ACW167" s="16"/>
      <c r="ACX167" s="16"/>
      <c r="ACY167" s="16"/>
      <c r="ACZ167" s="16"/>
      <c r="ADA167" s="16"/>
      <c r="ADB167" s="16"/>
      <c r="ADC167" s="16"/>
      <c r="ADD167" s="16"/>
      <c r="ADE167" s="16"/>
      <c r="ADF167" s="16"/>
      <c r="ADG167" s="16"/>
      <c r="ADH167" s="16"/>
      <c r="ADI167" s="16"/>
      <c r="ADJ167" s="16"/>
      <c r="ADK167" s="16"/>
      <c r="ADL167" s="16"/>
      <c r="ADM167" s="16"/>
      <c r="ADN167" s="16"/>
      <c r="ADO167" s="16"/>
      <c r="ADP167" s="16"/>
      <c r="ADQ167" s="16"/>
      <c r="ADR167" s="16"/>
      <c r="ADS167" s="16"/>
      <c r="ADT167" s="16"/>
      <c r="ADU167" s="16"/>
      <c r="ADV167" s="16"/>
      <c r="ADW167" s="16"/>
      <c r="ADX167" s="16"/>
      <c r="ADY167" s="16"/>
      <c r="ADZ167" s="16"/>
      <c r="AEA167" s="16"/>
      <c r="AEB167" s="16"/>
      <c r="AEC167" s="16"/>
      <c r="AED167" s="16"/>
      <c r="AEE167" s="16"/>
      <c r="AEF167" s="16"/>
      <c r="AEG167" s="16"/>
      <c r="AEH167" s="16"/>
      <c r="AEI167" s="16"/>
      <c r="AEJ167" s="16"/>
      <c r="AEK167" s="16"/>
      <c r="AEL167" s="16"/>
      <c r="AEM167" s="16"/>
      <c r="AEN167" s="16"/>
      <c r="AEO167" s="16"/>
      <c r="AEP167" s="16"/>
      <c r="AEQ167" s="16"/>
      <c r="AER167" s="16"/>
      <c r="AES167" s="16"/>
      <c r="AET167" s="16"/>
      <c r="AEU167" s="16"/>
      <c r="AEV167" s="16"/>
      <c r="AEW167" s="16"/>
      <c r="AEX167" s="16"/>
      <c r="AEY167" s="16"/>
      <c r="AEZ167" s="16"/>
      <c r="AFA167" s="16"/>
      <c r="AFB167" s="16"/>
      <c r="AFC167" s="16"/>
      <c r="AFD167" s="16"/>
      <c r="AFE167" s="16"/>
      <c r="AFF167" s="16"/>
      <c r="AFG167" s="16"/>
      <c r="AFH167" s="16"/>
      <c r="AFI167" s="16"/>
      <c r="AFJ167" s="16"/>
      <c r="AFK167" s="16"/>
      <c r="AFL167" s="16"/>
      <c r="AFM167" s="16"/>
      <c r="AFN167" s="16"/>
      <c r="AFO167" s="16"/>
      <c r="AFP167" s="16"/>
      <c r="AFQ167" s="16"/>
      <c r="AFR167" s="16"/>
      <c r="AFS167" s="16"/>
      <c r="AFT167" s="16"/>
      <c r="AFU167" s="16"/>
      <c r="AFV167" s="16"/>
      <c r="AFW167" s="16"/>
      <c r="AFX167" s="16"/>
      <c r="AFY167" s="16"/>
      <c r="AFZ167" s="16"/>
      <c r="AGA167" s="16"/>
      <c r="AGB167" s="16"/>
      <c r="AGC167" s="16"/>
      <c r="AGD167" s="16"/>
      <c r="AGE167" s="16"/>
      <c r="AGF167" s="16"/>
      <c r="AGG167" s="16"/>
      <c r="AGH167" s="16"/>
      <c r="AGI167" s="16"/>
      <c r="AGJ167" s="16"/>
      <c r="AGK167" s="16"/>
      <c r="AGL167" s="16"/>
      <c r="AGM167" s="16"/>
      <c r="AGN167" s="16"/>
      <c r="AGO167" s="16"/>
      <c r="AGP167" s="16"/>
      <c r="AGQ167" s="16"/>
      <c r="AGR167" s="16"/>
      <c r="AGS167" s="16"/>
      <c r="AGT167" s="16"/>
      <c r="AGU167" s="16"/>
      <c r="AGV167" s="16"/>
      <c r="AGW167" s="16"/>
      <c r="AGX167" s="16"/>
      <c r="AGY167" s="16"/>
      <c r="AGZ167" s="16"/>
      <c r="AHA167" s="16"/>
      <c r="AHB167" s="16"/>
      <c r="AHC167" s="16"/>
      <c r="AHD167" s="16"/>
      <c r="AHE167" s="16"/>
      <c r="AHF167" s="16"/>
      <c r="AHG167" s="16"/>
      <c r="AHH167" s="16"/>
      <c r="AHI167" s="16"/>
      <c r="AHJ167" s="16"/>
      <c r="AHK167" s="16"/>
      <c r="AHL167" s="16"/>
      <c r="AHM167" s="16"/>
      <c r="AHN167" s="16"/>
      <c r="AHO167" s="16"/>
      <c r="AHP167" s="16"/>
      <c r="AHQ167" s="16"/>
      <c r="AHR167" s="16"/>
      <c r="AHS167" s="16"/>
      <c r="AHT167" s="16"/>
      <c r="AHU167" s="16"/>
      <c r="AHV167" s="16"/>
      <c r="AHW167" s="16"/>
      <c r="AHX167" s="16"/>
      <c r="AHY167" s="16"/>
      <c r="AHZ167" s="16"/>
      <c r="AIA167" s="16"/>
      <c r="AIB167" s="16"/>
      <c r="AIC167" s="16"/>
      <c r="AID167" s="16"/>
      <c r="AIE167" s="16"/>
      <c r="AIF167" s="16"/>
      <c r="AIG167" s="16"/>
      <c r="AIH167" s="16"/>
      <c r="AII167" s="16"/>
      <c r="AIJ167" s="16"/>
      <c r="AIK167" s="16"/>
      <c r="AIL167" s="16"/>
      <c r="AIM167" s="16"/>
      <c r="AIN167" s="16"/>
      <c r="AIO167" s="16"/>
      <c r="AIP167" s="16"/>
      <c r="AIQ167" s="16"/>
      <c r="AIR167" s="16"/>
      <c r="AIS167" s="16"/>
      <c r="AIT167" s="16"/>
      <c r="AIU167" s="16"/>
      <c r="AIV167" s="16"/>
      <c r="AIW167" s="16"/>
      <c r="AIX167" s="16"/>
      <c r="AIY167" s="16"/>
      <c r="AIZ167" s="16"/>
      <c r="AJA167" s="16"/>
      <c r="AJB167" s="16"/>
      <c r="AJC167" s="16"/>
      <c r="AJD167" s="16"/>
      <c r="AJE167" s="16"/>
      <c r="AJF167" s="16"/>
      <c r="AJG167" s="16"/>
      <c r="AJH167" s="16"/>
      <c r="AJI167" s="16"/>
      <c r="AJJ167" s="16"/>
      <c r="AJK167" s="16"/>
      <c r="AJL167" s="16"/>
      <c r="AJM167" s="16"/>
      <c r="AJN167" s="16"/>
      <c r="AJO167" s="16"/>
      <c r="AJP167" s="16"/>
      <c r="AJQ167" s="16"/>
      <c r="AJR167" s="16"/>
      <c r="AJS167" s="16"/>
      <c r="AJT167" s="16"/>
      <c r="AJU167" s="16"/>
      <c r="AJV167" s="16"/>
      <c r="AJW167" s="16"/>
      <c r="AJX167" s="16"/>
      <c r="AJY167" s="16"/>
      <c r="AJZ167" s="16"/>
      <c r="AKA167" s="16"/>
      <c r="AKB167" s="16"/>
      <c r="AKC167" s="16"/>
      <c r="AKD167" s="16"/>
      <c r="AKE167" s="16"/>
      <c r="AKF167" s="16"/>
      <c r="AKG167" s="16"/>
      <c r="AKH167" s="16"/>
      <c r="AKI167" s="16"/>
      <c r="AKJ167" s="16"/>
      <c r="AKK167" s="16"/>
      <c r="AKL167" s="16"/>
      <c r="AKM167" s="16"/>
      <c r="AKN167" s="16"/>
      <c r="AKO167" s="16"/>
      <c r="AKP167" s="16"/>
      <c r="AKQ167" s="16"/>
      <c r="AKR167" s="16"/>
      <c r="AKS167" s="16"/>
      <c r="AKT167" s="16"/>
      <c r="AKU167" s="16"/>
      <c r="AKV167" s="16"/>
      <c r="AKW167" s="16"/>
      <c r="AKX167" s="16"/>
      <c r="AKY167" s="16"/>
      <c r="AKZ167" s="16"/>
      <c r="ALA167" s="16"/>
      <c r="ALB167" s="16"/>
      <c r="ALC167" s="16"/>
      <c r="ALD167" s="16"/>
      <c r="ALE167" s="16"/>
      <c r="ALF167" s="16"/>
      <c r="ALG167" s="16"/>
      <c r="ALH167" s="16"/>
      <c r="ALI167" s="16"/>
      <c r="ALJ167" s="16"/>
      <c r="ALK167" s="16"/>
      <c r="ALL167" s="16"/>
      <c r="ALM167" s="16"/>
      <c r="ALN167" s="16"/>
      <c r="ALO167" s="16"/>
      <c r="ALP167" s="16"/>
      <c r="ALQ167" s="16"/>
      <c r="ALR167" s="16"/>
      <c r="ALS167" s="16"/>
      <c r="ALT167" s="16"/>
      <c r="ALU167" s="16"/>
      <c r="ALV167" s="16"/>
      <c r="ALW167" s="16"/>
      <c r="ALX167" s="16"/>
      <c r="ALY167" s="16"/>
      <c r="ALZ167" s="16"/>
      <c r="AMA167" s="16"/>
      <c r="AMB167" s="16"/>
      <c r="AMC167" s="16"/>
      <c r="AMD167" s="16"/>
      <c r="AME167" s="16"/>
      <c r="AMF167" s="16"/>
      <c r="AMG167" s="16"/>
      <c r="AMH167" s="16"/>
      <c r="AMI167" s="16"/>
      <c r="AMJ167" s="16"/>
      <c r="AMK167" s="16"/>
      <c r="AML167" s="16"/>
      <c r="AMM167" s="16"/>
      <c r="AMN167" s="16"/>
      <c r="AMO167" s="16"/>
      <c r="AMP167" s="16"/>
      <c r="AMQ167" s="16"/>
      <c r="AMR167" s="16"/>
      <c r="AMS167" s="16"/>
      <c r="AMT167" s="16"/>
      <c r="AMU167" s="16"/>
      <c r="AMV167" s="16"/>
      <c r="AMW167" s="16"/>
      <c r="AMX167" s="16"/>
      <c r="AMY167" s="16"/>
      <c r="AMZ167" s="16"/>
      <c r="ANA167" s="16"/>
      <c r="ANB167" s="16"/>
      <c r="ANC167" s="16"/>
      <c r="AND167" s="16"/>
      <c r="ANE167" s="16"/>
      <c r="ANF167" s="16"/>
      <c r="ANG167" s="16"/>
      <c r="ANH167" s="16"/>
      <c r="ANI167" s="16"/>
      <c r="ANJ167" s="16"/>
      <c r="ANK167" s="16"/>
      <c r="ANL167" s="16"/>
      <c r="ANM167" s="16"/>
      <c r="ANN167" s="16"/>
      <c r="ANO167" s="16"/>
      <c r="ANP167" s="16"/>
      <c r="ANQ167" s="16"/>
      <c r="ANR167" s="16"/>
      <c r="ANS167" s="16"/>
      <c r="ANT167" s="16"/>
      <c r="ANU167" s="16"/>
      <c r="ANV167" s="16"/>
      <c r="ANW167" s="16"/>
      <c r="ANX167" s="16"/>
      <c r="ANY167" s="16"/>
      <c r="ANZ167" s="16"/>
      <c r="AOA167" s="16"/>
      <c r="AOB167" s="16"/>
      <c r="AOC167" s="16"/>
      <c r="AOD167" s="16"/>
      <c r="AOE167" s="16"/>
      <c r="AOF167" s="16"/>
      <c r="AOG167" s="16"/>
      <c r="AOH167" s="16"/>
      <c r="AOI167" s="16"/>
      <c r="AOJ167" s="16"/>
      <c r="AOK167" s="16"/>
      <c r="AOL167" s="16"/>
      <c r="AOM167" s="16"/>
      <c r="AON167" s="16"/>
      <c r="AOO167" s="16"/>
      <c r="AOP167" s="16"/>
      <c r="AOQ167" s="16"/>
      <c r="AOR167" s="16"/>
      <c r="AOS167" s="16"/>
      <c r="AOT167" s="16"/>
      <c r="AOU167" s="16"/>
      <c r="AOV167" s="16"/>
      <c r="AOW167" s="16"/>
      <c r="AOX167" s="16"/>
      <c r="AOY167" s="16"/>
      <c r="AOZ167" s="16"/>
      <c r="APA167" s="16"/>
      <c r="APB167" s="16"/>
      <c r="APC167" s="16"/>
      <c r="APD167" s="16"/>
      <c r="APE167" s="16"/>
      <c r="APF167" s="16"/>
      <c r="APG167" s="16"/>
      <c r="APH167" s="16"/>
      <c r="API167" s="16"/>
      <c r="APJ167" s="16"/>
      <c r="APK167" s="16"/>
      <c r="APL167" s="16"/>
      <c r="APM167" s="16"/>
      <c r="APN167" s="16"/>
      <c r="APO167" s="16"/>
      <c r="APP167" s="16"/>
      <c r="APQ167" s="16"/>
      <c r="APR167" s="16"/>
      <c r="APS167" s="16"/>
      <c r="APT167" s="16"/>
      <c r="APU167" s="16"/>
      <c r="APV167" s="16"/>
      <c r="APW167" s="16"/>
      <c r="APX167" s="16"/>
      <c r="APY167" s="16"/>
      <c r="APZ167" s="16"/>
      <c r="AQA167" s="16"/>
      <c r="AQB167" s="16"/>
      <c r="AQC167" s="16"/>
      <c r="AQD167" s="16"/>
      <c r="AQE167" s="16"/>
      <c r="AQF167" s="16"/>
      <c r="AQG167" s="16"/>
      <c r="AQH167" s="16"/>
      <c r="AQI167" s="16"/>
      <c r="AQJ167" s="16"/>
      <c r="AQK167" s="16"/>
      <c r="AQL167" s="16"/>
      <c r="AQM167" s="16"/>
      <c r="AQN167" s="16"/>
      <c r="AQO167" s="16"/>
      <c r="AQP167" s="16"/>
      <c r="AQQ167" s="16"/>
      <c r="AQR167" s="16"/>
      <c r="AQS167" s="16"/>
      <c r="AQT167" s="16"/>
      <c r="AQU167" s="16"/>
      <c r="AQV167" s="16"/>
      <c r="AQW167" s="16"/>
      <c r="AQX167" s="16"/>
      <c r="AQY167" s="16"/>
      <c r="AQZ167" s="16"/>
      <c r="ARA167" s="16"/>
      <c r="ARB167" s="16"/>
      <c r="ARC167" s="16"/>
      <c r="ARD167" s="16"/>
      <c r="ARE167" s="16"/>
      <c r="ARF167" s="16"/>
      <c r="ARG167" s="16"/>
      <c r="ARH167" s="16"/>
      <c r="ARI167" s="16"/>
      <c r="ARJ167" s="16"/>
      <c r="ARK167" s="16"/>
      <c r="ARL167" s="16"/>
      <c r="ARM167" s="16"/>
      <c r="ARN167" s="16"/>
      <c r="ARO167" s="16"/>
      <c r="ARP167" s="16"/>
      <c r="ARQ167" s="16"/>
      <c r="ARR167" s="16"/>
      <c r="ARS167" s="16"/>
      <c r="ART167" s="16"/>
      <c r="ARU167" s="16"/>
      <c r="ARV167" s="16"/>
      <c r="ARW167" s="16"/>
      <c r="ARX167" s="16"/>
      <c r="ARY167" s="16"/>
      <c r="ARZ167" s="16"/>
      <c r="ASA167" s="16"/>
      <c r="ASB167" s="16"/>
      <c r="ASC167" s="16"/>
      <c r="ASD167" s="16"/>
      <c r="ASE167" s="16"/>
      <c r="ASF167" s="16"/>
      <c r="ASG167" s="16"/>
      <c r="ASH167" s="16"/>
      <c r="ASI167" s="16"/>
      <c r="ASJ167" s="16"/>
      <c r="ASK167" s="16"/>
      <c r="ASL167" s="16"/>
      <c r="ASM167" s="16"/>
      <c r="ASN167" s="16"/>
      <c r="ASO167" s="16"/>
      <c r="ASP167" s="16"/>
      <c r="ASQ167" s="16"/>
      <c r="ASR167" s="16"/>
      <c r="ASS167" s="16"/>
      <c r="AST167" s="16"/>
      <c r="ASU167" s="16"/>
      <c r="ASV167" s="16"/>
      <c r="ASW167" s="16"/>
      <c r="ASX167" s="16"/>
      <c r="ASY167" s="16"/>
      <c r="ASZ167" s="16"/>
      <c r="ATA167" s="16"/>
      <c r="ATB167" s="16"/>
      <c r="ATC167" s="16"/>
      <c r="ATD167" s="16"/>
      <c r="ATE167" s="16"/>
      <c r="ATF167" s="16"/>
      <c r="ATG167" s="16"/>
      <c r="ATH167" s="16"/>
      <c r="ATI167" s="16"/>
      <c r="ATJ167" s="16"/>
      <c r="ATK167" s="16"/>
      <c r="ATL167" s="16"/>
      <c r="ATM167" s="16"/>
      <c r="ATN167" s="16"/>
      <c r="ATO167" s="16"/>
      <c r="ATP167" s="16"/>
      <c r="ATQ167" s="16"/>
      <c r="ATR167" s="16"/>
      <c r="ATS167" s="16"/>
      <c r="ATT167" s="16"/>
      <c r="ATU167" s="16"/>
      <c r="ATV167" s="16"/>
      <c r="ATW167" s="16"/>
      <c r="ATX167" s="16"/>
      <c r="ATY167" s="16"/>
      <c r="ATZ167" s="16"/>
      <c r="AUA167" s="16"/>
      <c r="AUB167" s="16"/>
      <c r="AUC167" s="16"/>
      <c r="AUD167" s="16"/>
      <c r="AUE167" s="16"/>
      <c r="AUF167" s="16"/>
      <c r="AUG167" s="16"/>
      <c r="AUH167" s="16"/>
      <c r="AUI167" s="16"/>
      <c r="AUJ167" s="16"/>
      <c r="AUK167" s="16"/>
      <c r="AUL167" s="16"/>
      <c r="AUM167" s="16"/>
      <c r="AUN167" s="16"/>
      <c r="AUO167" s="16"/>
      <c r="AUP167" s="16"/>
      <c r="AUQ167" s="16"/>
      <c r="AUR167" s="16"/>
      <c r="AUS167" s="16"/>
      <c r="AUT167" s="16"/>
      <c r="AUU167" s="16"/>
      <c r="AUV167" s="16"/>
      <c r="AUW167" s="16"/>
      <c r="AUX167" s="16"/>
      <c r="AUY167" s="16"/>
      <c r="AUZ167" s="16"/>
      <c r="AVA167" s="16"/>
      <c r="AVB167" s="16"/>
      <c r="AVC167" s="16"/>
      <c r="AVD167" s="16"/>
      <c r="AVE167" s="16"/>
      <c r="AVF167" s="16"/>
      <c r="AVG167" s="16"/>
      <c r="AVH167" s="16"/>
      <c r="AVI167" s="16"/>
      <c r="AVJ167" s="16"/>
      <c r="AVK167" s="16"/>
      <c r="AVL167" s="16"/>
      <c r="AVM167" s="16"/>
      <c r="AVN167" s="16"/>
      <c r="AVO167" s="16"/>
      <c r="AVP167" s="16"/>
      <c r="AVQ167" s="16"/>
      <c r="AVR167" s="16"/>
      <c r="AVS167" s="16"/>
      <c r="AVT167" s="16"/>
      <c r="AVU167" s="16"/>
      <c r="AVV167" s="16"/>
      <c r="AVW167" s="16"/>
      <c r="AVX167" s="16"/>
      <c r="AVY167" s="16"/>
      <c r="AVZ167" s="16"/>
      <c r="AWA167" s="16"/>
      <c r="AWB167" s="16"/>
      <c r="AWC167" s="16"/>
      <c r="AWD167" s="16"/>
      <c r="AWE167" s="16"/>
      <c r="AWF167" s="16"/>
      <c r="AWG167" s="16"/>
      <c r="AWH167" s="16"/>
      <c r="AWI167" s="16"/>
      <c r="AWJ167" s="16"/>
      <c r="AWK167" s="16"/>
      <c r="AWL167" s="16"/>
      <c r="AWM167" s="16"/>
      <c r="AWN167" s="16"/>
      <c r="AWO167" s="16"/>
      <c r="AWP167" s="16"/>
      <c r="AWQ167" s="16"/>
      <c r="AWR167" s="16"/>
      <c r="AWS167" s="16"/>
      <c r="AWT167" s="16"/>
      <c r="AWU167" s="16"/>
      <c r="AWV167" s="16"/>
      <c r="AWW167" s="16"/>
      <c r="AWX167" s="16"/>
      <c r="AWY167" s="16"/>
      <c r="AWZ167" s="16"/>
      <c r="AXA167" s="16"/>
      <c r="AXB167" s="16"/>
      <c r="AXC167" s="16"/>
      <c r="AXD167" s="16"/>
      <c r="AXE167" s="16"/>
      <c r="AXF167" s="16"/>
      <c r="AXG167" s="16"/>
      <c r="AXH167" s="16"/>
      <c r="AXI167" s="16"/>
      <c r="AXJ167" s="16"/>
      <c r="AXK167" s="16"/>
      <c r="AXL167" s="16"/>
      <c r="AXM167" s="16"/>
      <c r="AXN167" s="16"/>
      <c r="AXO167" s="16"/>
      <c r="AXP167" s="16"/>
      <c r="AXQ167" s="16"/>
      <c r="AXR167" s="16"/>
      <c r="AXS167" s="16"/>
      <c r="AXT167" s="16"/>
      <c r="AXU167" s="16"/>
      <c r="AXV167" s="16"/>
      <c r="AXW167" s="16"/>
      <c r="AXX167" s="16"/>
      <c r="AXY167" s="16"/>
      <c r="AXZ167" s="16"/>
      <c r="AYA167" s="16"/>
      <c r="AYB167" s="16"/>
      <c r="AYC167" s="16"/>
      <c r="AYD167" s="16"/>
      <c r="AYE167" s="16"/>
      <c r="AYF167" s="16"/>
      <c r="AYG167" s="16"/>
      <c r="AYH167" s="16"/>
      <c r="AYI167" s="16"/>
      <c r="AYJ167" s="16"/>
      <c r="AYK167" s="16"/>
      <c r="AYL167" s="16"/>
      <c r="AYM167" s="16"/>
      <c r="AYN167" s="16"/>
      <c r="AYO167" s="16"/>
      <c r="AYP167" s="16"/>
      <c r="AYQ167" s="16"/>
      <c r="AYR167" s="16"/>
      <c r="AYS167" s="16"/>
      <c r="AYT167" s="16"/>
      <c r="AYU167" s="16"/>
      <c r="AYV167" s="16"/>
      <c r="AYW167" s="16"/>
      <c r="AYX167" s="16"/>
      <c r="AYY167" s="16"/>
      <c r="AYZ167" s="16"/>
      <c r="AZA167" s="16"/>
      <c r="AZB167" s="16"/>
      <c r="AZC167" s="16"/>
      <c r="AZD167" s="16"/>
      <c r="AZE167" s="16"/>
      <c r="AZF167" s="16"/>
      <c r="AZG167" s="16"/>
      <c r="AZH167" s="16"/>
      <c r="AZI167" s="16"/>
      <c r="AZJ167" s="16"/>
      <c r="AZK167" s="16"/>
      <c r="AZL167" s="16"/>
      <c r="AZM167" s="16"/>
      <c r="AZN167" s="16"/>
      <c r="AZO167" s="16"/>
      <c r="AZP167" s="16"/>
      <c r="AZQ167" s="16"/>
      <c r="AZR167" s="16"/>
      <c r="AZS167" s="16"/>
      <c r="AZT167" s="16"/>
      <c r="AZU167" s="16"/>
      <c r="AZV167" s="16"/>
      <c r="AZW167" s="16"/>
      <c r="AZX167" s="16"/>
      <c r="AZY167" s="16"/>
      <c r="AZZ167" s="16"/>
      <c r="BAA167" s="16"/>
      <c r="BAB167" s="16"/>
      <c r="BAC167" s="16"/>
      <c r="BAD167" s="16"/>
      <c r="BAE167" s="16"/>
      <c r="BAF167" s="16"/>
      <c r="BAG167" s="16"/>
      <c r="BAH167" s="16"/>
      <c r="BAI167" s="16"/>
      <c r="BAJ167" s="16"/>
      <c r="BAK167" s="16"/>
      <c r="BAL167" s="16"/>
      <c r="BAM167" s="16"/>
      <c r="BAN167" s="16"/>
      <c r="BAO167" s="16"/>
      <c r="BAP167" s="16"/>
      <c r="BAQ167" s="16"/>
      <c r="BAR167" s="16"/>
      <c r="BAS167" s="16"/>
      <c r="BAT167" s="16"/>
      <c r="BAU167" s="16"/>
      <c r="BAV167" s="16"/>
      <c r="BAW167" s="16"/>
      <c r="BAX167" s="16"/>
      <c r="BAY167" s="16"/>
      <c r="BAZ167" s="16"/>
      <c r="BBA167" s="16"/>
      <c r="BBB167" s="16"/>
      <c r="BBC167" s="16"/>
      <c r="BBD167" s="16"/>
      <c r="BBE167" s="16"/>
      <c r="BBF167" s="16"/>
      <c r="BBG167" s="16"/>
      <c r="BBH167" s="16"/>
      <c r="BBI167" s="16"/>
      <c r="BBJ167" s="16"/>
      <c r="BBK167" s="16"/>
      <c r="BBL167" s="16"/>
      <c r="BBM167" s="16"/>
      <c r="BBN167" s="16"/>
      <c r="BBO167" s="16"/>
      <c r="BBP167" s="16"/>
      <c r="BBQ167" s="16"/>
      <c r="BBR167" s="16"/>
      <c r="BBS167" s="16"/>
      <c r="BBT167" s="16"/>
      <c r="BBU167" s="16"/>
      <c r="BBV167" s="16"/>
      <c r="BBW167" s="16"/>
      <c r="BBX167" s="16"/>
      <c r="BBY167" s="16"/>
      <c r="BBZ167" s="16"/>
      <c r="BCA167" s="16"/>
      <c r="BCB167" s="16"/>
      <c r="BCC167" s="16"/>
      <c r="BCD167" s="16"/>
      <c r="BCE167" s="16"/>
      <c r="BCF167" s="16"/>
      <c r="BCG167" s="16"/>
      <c r="BCH167" s="16"/>
      <c r="BCI167" s="16"/>
      <c r="BCJ167" s="16"/>
      <c r="BCK167" s="16"/>
      <c r="BCL167" s="16"/>
      <c r="BCM167" s="16"/>
      <c r="BCN167" s="16"/>
      <c r="BCO167" s="16"/>
      <c r="BCP167" s="16"/>
      <c r="BCQ167" s="16"/>
      <c r="BCR167" s="16"/>
      <c r="BCS167" s="16"/>
      <c r="BCT167" s="16"/>
      <c r="BCU167" s="16"/>
      <c r="BCV167" s="16"/>
      <c r="BCW167" s="16"/>
      <c r="BCX167" s="16"/>
      <c r="BCY167" s="16"/>
      <c r="BCZ167" s="16"/>
      <c r="BDA167" s="16"/>
      <c r="BDB167" s="16"/>
      <c r="BDC167" s="16"/>
      <c r="BDD167" s="16"/>
      <c r="BDE167" s="16"/>
      <c r="BDF167" s="16"/>
      <c r="BDG167" s="16"/>
      <c r="BDH167" s="16"/>
      <c r="BDI167" s="16"/>
      <c r="BDJ167" s="16"/>
      <c r="BDK167" s="16"/>
      <c r="BDL167" s="16"/>
      <c r="BDM167" s="16"/>
      <c r="BDN167" s="16"/>
      <c r="BDO167" s="16"/>
      <c r="BDP167" s="16"/>
      <c r="BDQ167" s="16"/>
      <c r="BDR167" s="16"/>
      <c r="BDS167" s="16"/>
      <c r="BDT167" s="16"/>
      <c r="BDU167" s="16"/>
      <c r="BDV167" s="16"/>
      <c r="BDW167" s="16"/>
      <c r="BDX167" s="16"/>
      <c r="BDY167" s="16"/>
      <c r="BDZ167" s="16"/>
      <c r="BEA167" s="16"/>
      <c r="BEB167" s="16"/>
      <c r="BEC167" s="16"/>
      <c r="BED167" s="16"/>
      <c r="BEE167" s="16"/>
      <c r="BEF167" s="16"/>
      <c r="BEG167" s="16"/>
      <c r="BEH167" s="16"/>
      <c r="BEI167" s="16"/>
      <c r="BEJ167" s="16"/>
      <c r="BEK167" s="16"/>
      <c r="BEL167" s="16"/>
      <c r="BEM167" s="16"/>
      <c r="BEN167" s="16"/>
      <c r="BEO167" s="16"/>
      <c r="BEP167" s="16"/>
      <c r="BEQ167" s="16"/>
      <c r="BER167" s="16"/>
      <c r="BES167" s="16"/>
      <c r="BET167" s="16"/>
      <c r="BEU167" s="16"/>
      <c r="BEV167" s="16"/>
      <c r="BEW167" s="16"/>
      <c r="BEX167" s="16"/>
      <c r="BEY167" s="16"/>
      <c r="BEZ167" s="16"/>
      <c r="BFA167" s="16"/>
      <c r="BFB167" s="16"/>
      <c r="BFC167" s="16"/>
      <c r="BFD167" s="16"/>
      <c r="BFE167" s="16"/>
      <c r="BFF167" s="16"/>
      <c r="BFG167" s="16"/>
      <c r="BFH167" s="16"/>
      <c r="BFI167" s="16"/>
      <c r="BFJ167" s="16"/>
      <c r="BFK167" s="16"/>
      <c r="BFL167" s="16"/>
      <c r="BFM167" s="16"/>
      <c r="BFN167" s="16"/>
      <c r="BFO167" s="16"/>
      <c r="BFP167" s="16"/>
      <c r="BFQ167" s="16"/>
      <c r="BFR167" s="16"/>
      <c r="BFS167" s="16"/>
      <c r="BFT167" s="16"/>
      <c r="BFU167" s="16"/>
      <c r="BFV167" s="16"/>
      <c r="BFW167" s="16"/>
      <c r="BFX167" s="16"/>
      <c r="BFY167" s="16"/>
      <c r="BFZ167" s="16"/>
      <c r="BGA167" s="16"/>
      <c r="BGB167" s="16"/>
      <c r="BGC167" s="16"/>
      <c r="BGD167" s="16"/>
      <c r="BGE167" s="16"/>
      <c r="BGF167" s="16"/>
      <c r="BGG167" s="16"/>
      <c r="BGH167" s="16"/>
      <c r="BGI167" s="16"/>
      <c r="BGJ167" s="16"/>
      <c r="BGK167" s="16"/>
      <c r="BGL167" s="16"/>
      <c r="BGM167" s="16"/>
      <c r="BGN167" s="16"/>
      <c r="BGO167" s="16"/>
      <c r="BGP167" s="16"/>
      <c r="BGQ167" s="16"/>
      <c r="BGR167" s="16"/>
      <c r="BGS167" s="16"/>
      <c r="BGT167" s="16"/>
      <c r="BGU167" s="16"/>
      <c r="BGV167" s="16"/>
      <c r="BGW167" s="16"/>
      <c r="BGX167" s="16"/>
      <c r="BGY167" s="16"/>
      <c r="BGZ167" s="16"/>
      <c r="BHA167" s="16"/>
      <c r="BHB167" s="16"/>
      <c r="BHC167" s="16"/>
      <c r="BHD167" s="16"/>
      <c r="BHE167" s="16"/>
      <c r="BHF167" s="16"/>
      <c r="BHG167" s="16"/>
      <c r="BHH167" s="16"/>
      <c r="BHI167" s="16"/>
      <c r="BHJ167" s="16"/>
      <c r="BHK167" s="16"/>
      <c r="BHL167" s="16"/>
      <c r="BHM167" s="16"/>
      <c r="BHN167" s="16"/>
      <c r="BHO167" s="16"/>
      <c r="BHP167" s="16"/>
      <c r="BHQ167" s="16"/>
      <c r="BHR167" s="16"/>
      <c r="BHS167" s="16"/>
      <c r="BHT167" s="16"/>
      <c r="BHU167" s="16"/>
      <c r="BHV167" s="16"/>
      <c r="BHW167" s="16"/>
      <c r="BHX167" s="16"/>
      <c r="BHY167" s="16"/>
      <c r="BHZ167" s="16"/>
      <c r="BIA167" s="16"/>
      <c r="BIB167" s="16"/>
      <c r="BIC167" s="16"/>
      <c r="BID167" s="16"/>
      <c r="BIE167" s="16"/>
      <c r="BIF167" s="16"/>
      <c r="BIG167" s="16"/>
      <c r="BIH167" s="16"/>
      <c r="BII167" s="16"/>
      <c r="BIJ167" s="16"/>
      <c r="BIK167" s="16"/>
      <c r="BIL167" s="16"/>
      <c r="BIM167" s="16"/>
      <c r="BIN167" s="16"/>
      <c r="BIO167" s="16"/>
      <c r="BIP167" s="16"/>
      <c r="BIQ167" s="16"/>
      <c r="BIR167" s="16"/>
      <c r="BIS167" s="16"/>
      <c r="BIT167" s="16"/>
      <c r="BIU167" s="16"/>
      <c r="BIV167" s="16"/>
      <c r="BIW167" s="16"/>
      <c r="BIX167" s="16"/>
      <c r="BIY167" s="16"/>
      <c r="BIZ167" s="16"/>
      <c r="BJA167" s="16"/>
      <c r="BJB167" s="16"/>
      <c r="BJC167" s="16"/>
      <c r="BJD167" s="16"/>
      <c r="BJE167" s="16"/>
      <c r="BJF167" s="16"/>
      <c r="BJG167" s="16"/>
      <c r="BJH167" s="16"/>
      <c r="BJI167" s="16"/>
      <c r="BJJ167" s="16"/>
      <c r="BJK167" s="16"/>
      <c r="BJL167" s="16"/>
      <c r="BJM167" s="16"/>
      <c r="BJN167" s="16"/>
      <c r="BJO167" s="16"/>
      <c r="BJP167" s="16"/>
      <c r="BJQ167" s="16"/>
      <c r="BJR167" s="16"/>
      <c r="BJS167" s="16"/>
      <c r="BJT167" s="16"/>
      <c r="BJU167" s="16"/>
      <c r="BJV167" s="16"/>
      <c r="BJW167" s="16"/>
      <c r="BJX167" s="16"/>
      <c r="BJY167" s="16"/>
      <c r="BJZ167" s="16"/>
      <c r="BKA167" s="16"/>
      <c r="BKB167" s="16"/>
      <c r="BKC167" s="16"/>
      <c r="BKD167" s="16"/>
      <c r="BKE167" s="16"/>
      <c r="BKF167" s="16"/>
      <c r="BKG167" s="16"/>
      <c r="BKH167" s="16"/>
      <c r="BKI167" s="16"/>
      <c r="BKJ167" s="16"/>
      <c r="BKK167" s="16"/>
      <c r="BKL167" s="16"/>
      <c r="BKM167" s="16"/>
      <c r="BKN167" s="16"/>
      <c r="BKO167" s="16"/>
      <c r="BKP167" s="16"/>
      <c r="BKQ167" s="16"/>
      <c r="BKR167" s="16"/>
      <c r="BKS167" s="16"/>
      <c r="BKT167" s="16"/>
      <c r="BKU167" s="16"/>
      <c r="BKV167" s="16"/>
      <c r="BKW167" s="16"/>
      <c r="BKX167" s="16"/>
      <c r="BKY167" s="16"/>
      <c r="BKZ167" s="16"/>
      <c r="BLA167" s="16"/>
      <c r="BLB167" s="16"/>
      <c r="BLC167" s="16"/>
      <c r="BLD167" s="16"/>
      <c r="BLE167" s="16"/>
      <c r="BLF167" s="16"/>
      <c r="BLG167" s="16"/>
      <c r="BLH167" s="16"/>
      <c r="BLI167" s="16"/>
      <c r="BLJ167" s="16"/>
      <c r="BLK167" s="16"/>
      <c r="BLL167" s="16"/>
      <c r="BLM167" s="16"/>
      <c r="BLN167" s="16"/>
      <c r="BLO167" s="16"/>
      <c r="BLP167" s="16"/>
      <c r="BLQ167" s="16"/>
      <c r="BLR167" s="16"/>
      <c r="BLS167" s="16"/>
      <c r="BLT167" s="16"/>
      <c r="BLU167" s="16"/>
      <c r="BLV167" s="16"/>
      <c r="BLW167" s="16"/>
      <c r="BLX167" s="16"/>
      <c r="BLY167" s="16"/>
      <c r="BLZ167" s="16"/>
      <c r="BMA167" s="16"/>
      <c r="BMB167" s="16"/>
      <c r="BMC167" s="16"/>
      <c r="BMD167" s="16"/>
      <c r="BME167" s="16"/>
      <c r="BMF167" s="16"/>
      <c r="BMG167" s="16"/>
      <c r="BMH167" s="16"/>
      <c r="BMI167" s="16"/>
      <c r="BMJ167" s="16"/>
      <c r="BMK167" s="16"/>
      <c r="BML167" s="16"/>
      <c r="BMM167" s="16"/>
      <c r="BMN167" s="16"/>
      <c r="BMO167" s="16"/>
      <c r="BMP167" s="16"/>
      <c r="BMQ167" s="16"/>
      <c r="BMR167" s="16"/>
      <c r="BMS167" s="16"/>
      <c r="BMT167" s="16"/>
      <c r="BMU167" s="16"/>
      <c r="BMV167" s="16"/>
      <c r="BMW167" s="16"/>
      <c r="BMX167" s="16"/>
      <c r="BMY167" s="16"/>
      <c r="BMZ167" s="16"/>
      <c r="BNA167" s="16"/>
      <c r="BNB167" s="16"/>
      <c r="BNC167" s="16"/>
      <c r="BND167" s="16"/>
      <c r="BNE167" s="16"/>
      <c r="BNF167" s="16"/>
      <c r="BNG167" s="16"/>
      <c r="BNH167" s="16"/>
      <c r="BNI167" s="16"/>
      <c r="BNJ167" s="16"/>
      <c r="BNK167" s="16"/>
      <c r="BNL167" s="16"/>
      <c r="BNM167" s="16"/>
      <c r="BNN167" s="16"/>
      <c r="BNO167" s="16"/>
      <c r="BNP167" s="16"/>
      <c r="BNQ167" s="16"/>
      <c r="BNR167" s="16"/>
      <c r="BNS167" s="16"/>
      <c r="BNT167" s="16"/>
      <c r="BNU167" s="16"/>
      <c r="BNV167" s="16"/>
      <c r="BNW167" s="16"/>
      <c r="BNX167" s="16"/>
      <c r="BNY167" s="16"/>
      <c r="BNZ167" s="16"/>
      <c r="BOA167" s="16"/>
      <c r="BOB167" s="16"/>
      <c r="BOC167" s="16"/>
      <c r="BOD167" s="16"/>
      <c r="BOE167" s="16"/>
      <c r="BOF167" s="16"/>
      <c r="BOG167" s="16"/>
      <c r="BOH167" s="16"/>
      <c r="BOI167" s="16"/>
      <c r="BOJ167" s="16"/>
      <c r="BOK167" s="16"/>
      <c r="BOL167" s="16"/>
      <c r="BOM167" s="16"/>
      <c r="BON167" s="16"/>
      <c r="BOO167" s="16"/>
      <c r="BOP167" s="16"/>
      <c r="BOQ167" s="16"/>
      <c r="BOR167" s="16"/>
      <c r="BOS167" s="16"/>
      <c r="BOT167" s="16"/>
      <c r="BOU167" s="16"/>
      <c r="BOV167" s="16"/>
      <c r="BOW167" s="16"/>
      <c r="BOX167" s="16"/>
      <c r="BOY167" s="16"/>
      <c r="BOZ167" s="16"/>
      <c r="BPA167" s="16"/>
      <c r="BPB167" s="16"/>
      <c r="BPC167" s="16"/>
      <c r="BPD167" s="16"/>
      <c r="BPE167" s="16"/>
      <c r="BPF167" s="16"/>
      <c r="BPG167" s="16"/>
      <c r="BPH167" s="16"/>
      <c r="BPI167" s="16"/>
      <c r="BPJ167" s="16"/>
      <c r="BPK167" s="16"/>
      <c r="BPL167" s="16"/>
      <c r="BPM167" s="16"/>
      <c r="BPN167" s="16"/>
      <c r="BPO167" s="16"/>
      <c r="BPP167" s="16"/>
      <c r="BPQ167" s="16"/>
      <c r="BPR167" s="16"/>
      <c r="BPS167" s="16"/>
      <c r="BPT167" s="16"/>
      <c r="BPU167" s="16"/>
      <c r="BPV167" s="16"/>
      <c r="BPW167" s="16"/>
      <c r="BPX167" s="16"/>
      <c r="BPY167" s="16"/>
      <c r="BPZ167" s="16"/>
      <c r="BQA167" s="16"/>
      <c r="BQB167" s="16"/>
      <c r="BQC167" s="16"/>
      <c r="BQD167" s="16"/>
      <c r="BQE167" s="16"/>
      <c r="BQF167" s="16"/>
      <c r="BQG167" s="16"/>
      <c r="BQH167" s="16"/>
      <c r="BQI167" s="16"/>
      <c r="BQJ167" s="16"/>
      <c r="BQK167" s="16"/>
      <c r="BQL167" s="16"/>
      <c r="BQM167" s="16"/>
      <c r="BQN167" s="16"/>
      <c r="BQO167" s="16"/>
      <c r="BQP167" s="16"/>
      <c r="BQQ167" s="16"/>
      <c r="BQR167" s="16"/>
      <c r="BQS167" s="16"/>
      <c r="BQT167" s="16"/>
      <c r="BQU167" s="16"/>
      <c r="BQV167" s="16"/>
      <c r="BQW167" s="16"/>
      <c r="BQX167" s="16"/>
      <c r="BQY167" s="16"/>
      <c r="BQZ167" s="16"/>
      <c r="BRA167" s="16"/>
      <c r="BRB167" s="16"/>
      <c r="BRC167" s="16"/>
      <c r="BRD167" s="16"/>
      <c r="BRE167" s="16"/>
      <c r="BRF167" s="16"/>
      <c r="BRG167" s="16"/>
      <c r="BRH167" s="16"/>
      <c r="BRI167" s="16"/>
      <c r="BRJ167" s="16"/>
      <c r="BRK167" s="16"/>
      <c r="BRL167" s="16"/>
      <c r="BRM167" s="16"/>
      <c r="BRN167" s="16"/>
      <c r="BRO167" s="16"/>
      <c r="BRP167" s="16"/>
      <c r="BRQ167" s="16"/>
      <c r="BRR167" s="16"/>
      <c r="BRS167" s="16"/>
      <c r="BRT167" s="16"/>
      <c r="BRU167" s="16"/>
      <c r="BRV167" s="16"/>
      <c r="BRW167" s="16"/>
      <c r="BRX167" s="16"/>
      <c r="BRY167" s="16"/>
      <c r="BRZ167" s="16"/>
      <c r="BSA167" s="16"/>
      <c r="BSB167" s="16"/>
      <c r="BSC167" s="16"/>
      <c r="BSD167" s="16"/>
      <c r="BSE167" s="16"/>
      <c r="BSF167" s="16"/>
      <c r="BSG167" s="16"/>
      <c r="BSH167" s="16"/>
      <c r="BSI167" s="16"/>
      <c r="BSJ167" s="16"/>
      <c r="BSK167" s="16"/>
      <c r="BSL167" s="16"/>
      <c r="BSM167" s="16"/>
      <c r="BSN167" s="16"/>
      <c r="BSO167" s="16"/>
      <c r="BSP167" s="16"/>
      <c r="BSQ167" s="16"/>
      <c r="BSR167" s="16"/>
      <c r="BSS167" s="16"/>
      <c r="BST167" s="16"/>
      <c r="BSU167" s="16"/>
      <c r="BSV167" s="16"/>
      <c r="BSW167" s="16"/>
      <c r="BSX167" s="16"/>
      <c r="BSY167" s="16"/>
      <c r="BSZ167" s="16"/>
      <c r="BTA167" s="16"/>
      <c r="BTB167" s="16"/>
      <c r="BTC167" s="16"/>
      <c r="BTD167" s="16"/>
      <c r="BTE167" s="16"/>
      <c r="BTF167" s="16"/>
      <c r="BTG167" s="16"/>
      <c r="BTH167" s="16"/>
      <c r="BTI167" s="16"/>
      <c r="BTJ167" s="16"/>
      <c r="BTK167" s="16"/>
      <c r="BTL167" s="16"/>
      <c r="BTM167" s="16"/>
      <c r="BTN167" s="16"/>
      <c r="BTO167" s="16"/>
      <c r="BTP167" s="16"/>
      <c r="BTQ167" s="16"/>
      <c r="BTR167" s="16"/>
      <c r="BTS167" s="16"/>
      <c r="BTT167" s="16"/>
      <c r="BTU167" s="16"/>
      <c r="BTV167" s="16"/>
      <c r="BTW167" s="16"/>
      <c r="BTX167" s="16"/>
      <c r="BTY167" s="16"/>
      <c r="BTZ167" s="16"/>
      <c r="BUA167" s="16"/>
      <c r="BUB167" s="16"/>
      <c r="BUC167" s="16"/>
      <c r="BUD167" s="16"/>
      <c r="BUE167" s="16"/>
      <c r="BUF167" s="16"/>
      <c r="BUG167" s="16"/>
      <c r="BUH167" s="16"/>
      <c r="BUI167" s="16"/>
      <c r="BUJ167" s="16"/>
      <c r="BUK167" s="16"/>
      <c r="BUL167" s="16"/>
      <c r="BUM167" s="16"/>
      <c r="BUN167" s="16"/>
      <c r="BUO167" s="16"/>
      <c r="BUP167" s="16"/>
      <c r="BUQ167" s="16"/>
      <c r="BUR167" s="16"/>
      <c r="BUS167" s="16"/>
      <c r="BUT167" s="16"/>
      <c r="BUU167" s="16"/>
      <c r="BUV167" s="16"/>
      <c r="BUW167" s="16"/>
      <c r="BUX167" s="16"/>
      <c r="BUY167" s="16"/>
      <c r="BUZ167" s="16"/>
      <c r="BVA167" s="16"/>
      <c r="BVB167" s="16"/>
      <c r="BVC167" s="16"/>
      <c r="BVD167" s="16"/>
      <c r="BVE167" s="16"/>
      <c r="BVF167" s="16"/>
      <c r="BVG167" s="16"/>
      <c r="BVH167" s="16"/>
      <c r="BVI167" s="16"/>
      <c r="BVJ167" s="16"/>
      <c r="BVK167" s="16"/>
      <c r="BVL167" s="16"/>
      <c r="BVM167" s="16"/>
      <c r="BVN167" s="16"/>
      <c r="BVO167" s="16"/>
      <c r="BVP167" s="16"/>
      <c r="BVQ167" s="16"/>
      <c r="BVR167" s="16"/>
      <c r="BVS167" s="16"/>
      <c r="BVT167" s="16"/>
      <c r="BVU167" s="16"/>
      <c r="BVV167" s="16"/>
      <c r="BVW167" s="16"/>
      <c r="BVX167" s="16"/>
      <c r="BVY167" s="16"/>
      <c r="BVZ167" s="16"/>
      <c r="BWA167" s="16"/>
      <c r="BWB167" s="16"/>
      <c r="BWC167" s="16"/>
      <c r="BWD167" s="16"/>
      <c r="BWE167" s="16"/>
      <c r="BWF167" s="16"/>
      <c r="BWG167" s="16"/>
      <c r="BWH167" s="16"/>
      <c r="BWI167" s="16"/>
      <c r="BWJ167" s="16"/>
      <c r="BWK167" s="16"/>
      <c r="BWL167" s="16"/>
      <c r="BWM167" s="16"/>
      <c r="BWN167" s="16"/>
      <c r="BWO167" s="16"/>
      <c r="BWP167" s="16"/>
      <c r="BWQ167" s="16"/>
      <c r="BWR167" s="16"/>
      <c r="BWS167" s="16"/>
      <c r="BWT167" s="16"/>
      <c r="BWU167" s="16"/>
      <c r="BWV167" s="16"/>
      <c r="BWW167" s="16"/>
      <c r="BWX167" s="16"/>
      <c r="BWY167" s="16"/>
      <c r="BWZ167" s="16"/>
      <c r="BXA167" s="16"/>
      <c r="BXB167" s="16"/>
      <c r="BXC167" s="16"/>
      <c r="BXD167" s="16"/>
      <c r="BXE167" s="16"/>
      <c r="BXF167" s="16"/>
      <c r="BXG167" s="16"/>
      <c r="BXH167" s="16"/>
      <c r="BXI167" s="16"/>
      <c r="BXJ167" s="16"/>
      <c r="BXK167" s="16"/>
      <c r="BXL167" s="16"/>
      <c r="BXM167" s="16"/>
      <c r="BXN167" s="16"/>
      <c r="BXO167" s="16"/>
      <c r="BXP167" s="16"/>
      <c r="BXQ167" s="16"/>
      <c r="BXR167" s="16"/>
      <c r="BXS167" s="16"/>
      <c r="BXT167" s="16"/>
      <c r="BXU167" s="16"/>
      <c r="BXV167" s="16"/>
      <c r="BXW167" s="16"/>
      <c r="BXX167" s="16"/>
      <c r="BXY167" s="16"/>
      <c r="BXZ167" s="16"/>
      <c r="BYA167" s="16"/>
      <c r="BYB167" s="16"/>
      <c r="BYC167" s="16"/>
      <c r="BYD167" s="16"/>
      <c r="BYE167" s="16"/>
      <c r="BYF167" s="16"/>
      <c r="BYG167" s="16"/>
      <c r="BYH167" s="16"/>
      <c r="BYI167" s="16"/>
      <c r="BYJ167" s="16"/>
      <c r="BYK167" s="16"/>
      <c r="BYL167" s="16"/>
      <c r="BYM167" s="16"/>
      <c r="BYN167" s="16"/>
      <c r="BYO167" s="16"/>
      <c r="BYP167" s="16"/>
      <c r="BYQ167" s="16"/>
      <c r="BYR167" s="16"/>
      <c r="BYS167" s="16"/>
      <c r="BYT167" s="16"/>
      <c r="BYU167" s="16"/>
      <c r="BYV167" s="16"/>
      <c r="BYW167" s="16"/>
      <c r="BYX167" s="16"/>
      <c r="BYY167" s="16"/>
      <c r="BYZ167" s="16"/>
      <c r="BZA167" s="16"/>
      <c r="BZB167" s="16"/>
      <c r="BZC167" s="16"/>
      <c r="BZD167" s="16"/>
      <c r="BZE167" s="16"/>
      <c r="BZF167" s="16"/>
      <c r="BZG167" s="16"/>
      <c r="BZH167" s="16"/>
      <c r="BZI167" s="16"/>
      <c r="BZJ167" s="16"/>
      <c r="BZK167" s="16"/>
      <c r="BZL167" s="16"/>
      <c r="BZM167" s="16"/>
      <c r="BZN167" s="16"/>
      <c r="BZO167" s="16"/>
      <c r="BZP167" s="16"/>
      <c r="BZQ167" s="16"/>
      <c r="BZR167" s="16"/>
      <c r="BZS167" s="16"/>
      <c r="BZT167" s="16"/>
      <c r="BZU167" s="16"/>
      <c r="BZV167" s="16"/>
      <c r="BZW167" s="16"/>
      <c r="BZX167" s="16"/>
      <c r="BZY167" s="16"/>
      <c r="BZZ167" s="16"/>
      <c r="CAA167" s="16"/>
      <c r="CAB167" s="16"/>
      <c r="CAC167" s="16"/>
      <c r="CAD167" s="16"/>
      <c r="CAE167" s="16"/>
      <c r="CAF167" s="16"/>
      <c r="CAG167" s="16"/>
      <c r="CAH167" s="16"/>
      <c r="CAI167" s="16"/>
      <c r="CAJ167" s="16"/>
      <c r="CAK167" s="16"/>
      <c r="CAL167" s="16"/>
      <c r="CAM167" s="16"/>
      <c r="CAN167" s="16"/>
      <c r="CAO167" s="16"/>
      <c r="CAP167" s="16"/>
      <c r="CAQ167" s="16"/>
      <c r="CAR167" s="16"/>
      <c r="CAS167" s="16"/>
      <c r="CAT167" s="16"/>
      <c r="CAU167" s="16"/>
      <c r="CAV167" s="16"/>
      <c r="CAW167" s="16"/>
      <c r="CAX167" s="16"/>
      <c r="CAY167" s="16"/>
      <c r="CAZ167" s="16"/>
      <c r="CBA167" s="16"/>
      <c r="CBB167" s="16"/>
      <c r="CBC167" s="16"/>
      <c r="CBD167" s="16"/>
      <c r="CBE167" s="16"/>
      <c r="CBF167" s="16"/>
      <c r="CBG167" s="16"/>
      <c r="CBH167" s="16"/>
      <c r="CBI167" s="16"/>
      <c r="CBJ167" s="16"/>
      <c r="CBK167" s="16"/>
      <c r="CBL167" s="16"/>
      <c r="CBM167" s="16"/>
      <c r="CBN167" s="16"/>
      <c r="CBO167" s="16"/>
      <c r="CBP167" s="16"/>
      <c r="CBQ167" s="16"/>
      <c r="CBR167" s="16"/>
      <c r="CBS167" s="16"/>
      <c r="CBT167" s="16"/>
      <c r="CBU167" s="16"/>
      <c r="CBV167" s="16"/>
      <c r="CBW167" s="16"/>
      <c r="CBX167" s="16"/>
      <c r="CBY167" s="16"/>
      <c r="CBZ167" s="16"/>
      <c r="CCA167" s="16"/>
      <c r="CCB167" s="16"/>
      <c r="CCC167" s="16"/>
      <c r="CCD167" s="16"/>
      <c r="CCE167" s="16"/>
      <c r="CCF167" s="16"/>
      <c r="CCG167" s="16"/>
      <c r="CCH167" s="16"/>
      <c r="CCI167" s="16"/>
      <c r="CCJ167" s="16"/>
      <c r="CCK167" s="16"/>
      <c r="CCL167" s="16"/>
      <c r="CCM167" s="16"/>
      <c r="CCN167" s="16"/>
      <c r="CCO167" s="16"/>
      <c r="CCP167" s="16"/>
      <c r="CCQ167" s="16"/>
      <c r="CCR167" s="16"/>
      <c r="CCS167" s="16"/>
      <c r="CCT167" s="16"/>
      <c r="CCU167" s="16"/>
      <c r="CCV167" s="16"/>
      <c r="CCW167" s="16"/>
      <c r="CCX167" s="16"/>
      <c r="CCY167" s="16"/>
      <c r="CCZ167" s="16"/>
      <c r="CDA167" s="16"/>
      <c r="CDB167" s="16"/>
      <c r="CDC167" s="16"/>
      <c r="CDD167" s="16"/>
      <c r="CDE167" s="16"/>
      <c r="CDF167" s="16"/>
      <c r="CDG167" s="16"/>
      <c r="CDH167" s="16"/>
      <c r="CDI167" s="16"/>
      <c r="CDJ167" s="16"/>
      <c r="CDK167" s="16"/>
      <c r="CDL167" s="16"/>
      <c r="CDM167" s="16"/>
      <c r="CDN167" s="16"/>
      <c r="CDO167" s="16"/>
      <c r="CDP167" s="16"/>
      <c r="CDQ167" s="16"/>
      <c r="CDR167" s="16"/>
      <c r="CDS167" s="16"/>
      <c r="CDT167" s="16"/>
      <c r="CDU167" s="16"/>
      <c r="CDV167" s="16"/>
      <c r="CDW167" s="16"/>
      <c r="CDX167" s="16"/>
      <c r="CDY167" s="16"/>
      <c r="CDZ167" s="16"/>
      <c r="CEA167" s="16"/>
      <c r="CEB167" s="16"/>
      <c r="CEC167" s="16"/>
      <c r="CED167" s="16"/>
      <c r="CEE167" s="16"/>
      <c r="CEF167" s="16"/>
      <c r="CEG167" s="16"/>
      <c r="CEH167" s="16"/>
      <c r="CEI167" s="16"/>
      <c r="CEJ167" s="16"/>
      <c r="CEK167" s="16"/>
      <c r="CEL167" s="16"/>
      <c r="CEM167" s="16"/>
      <c r="CEN167" s="16"/>
      <c r="CEO167" s="16"/>
      <c r="CEP167" s="16"/>
      <c r="CEQ167" s="16"/>
      <c r="CER167" s="16"/>
      <c r="CES167" s="16"/>
      <c r="CET167" s="16"/>
      <c r="CEU167" s="16"/>
      <c r="CEV167" s="16"/>
      <c r="CEW167" s="16"/>
      <c r="CEX167" s="16"/>
      <c r="CEY167" s="16"/>
      <c r="CEZ167" s="16"/>
      <c r="CFA167" s="16"/>
      <c r="CFB167" s="16"/>
      <c r="CFC167" s="16"/>
      <c r="CFD167" s="16"/>
      <c r="CFE167" s="16"/>
      <c r="CFF167" s="16"/>
      <c r="CFG167" s="16"/>
      <c r="CFH167" s="16"/>
      <c r="CFI167" s="16"/>
      <c r="CFJ167" s="16"/>
      <c r="CFK167" s="16"/>
      <c r="CFL167" s="16"/>
      <c r="CFM167" s="16"/>
      <c r="CFN167" s="16"/>
      <c r="CFO167" s="16"/>
      <c r="CFP167" s="16"/>
      <c r="CFQ167" s="16"/>
      <c r="CFR167" s="16"/>
      <c r="CFS167" s="16"/>
      <c r="CFT167" s="16"/>
      <c r="CFU167" s="16"/>
      <c r="CFV167" s="16"/>
      <c r="CFW167" s="16"/>
      <c r="CFX167" s="16"/>
      <c r="CFY167" s="16"/>
      <c r="CFZ167" s="16"/>
      <c r="CGA167" s="16"/>
      <c r="CGB167" s="16"/>
      <c r="CGC167" s="16"/>
      <c r="CGD167" s="16"/>
      <c r="CGE167" s="16"/>
      <c r="CGF167" s="16"/>
      <c r="CGG167" s="16"/>
      <c r="CGH167" s="16"/>
      <c r="CGI167" s="16"/>
      <c r="CGJ167" s="16"/>
      <c r="CGK167" s="16"/>
      <c r="CGL167" s="16"/>
      <c r="CGM167" s="16"/>
      <c r="CGN167" s="16"/>
      <c r="CGO167" s="16"/>
      <c r="CGP167" s="16"/>
      <c r="CGQ167" s="16"/>
      <c r="CGR167" s="16"/>
      <c r="CGS167" s="16"/>
      <c r="CGT167" s="16"/>
      <c r="CGU167" s="16"/>
      <c r="CGV167" s="16"/>
      <c r="CGW167" s="16"/>
      <c r="CGX167" s="16"/>
      <c r="CGY167" s="16"/>
      <c r="CGZ167" s="16"/>
      <c r="CHA167" s="16"/>
      <c r="CHB167" s="16"/>
      <c r="CHC167" s="16"/>
      <c r="CHD167" s="16"/>
      <c r="CHE167" s="16"/>
      <c r="CHF167" s="16"/>
      <c r="CHG167" s="16"/>
      <c r="CHH167" s="16"/>
      <c r="CHI167" s="16"/>
      <c r="CHJ167" s="16"/>
      <c r="CHK167" s="16"/>
      <c r="CHL167" s="16"/>
      <c r="CHM167" s="16"/>
      <c r="CHN167" s="16"/>
      <c r="CHO167" s="16"/>
      <c r="CHP167" s="16"/>
      <c r="CHQ167" s="16"/>
      <c r="CHR167" s="16"/>
      <c r="CHS167" s="16"/>
      <c r="CHT167" s="16"/>
      <c r="CHU167" s="16"/>
      <c r="CHV167" s="16"/>
      <c r="CHW167" s="16"/>
      <c r="CHX167" s="16"/>
      <c r="CHY167" s="16"/>
      <c r="CHZ167" s="16"/>
      <c r="CIA167" s="16"/>
      <c r="CIB167" s="16"/>
      <c r="CIC167" s="16"/>
      <c r="CID167" s="16"/>
      <c r="CIE167" s="16"/>
      <c r="CIF167" s="16"/>
      <c r="CIG167" s="16"/>
      <c r="CIH167" s="16"/>
      <c r="CII167" s="16"/>
      <c r="CIJ167" s="16"/>
      <c r="CIK167" s="16"/>
      <c r="CIL167" s="16"/>
      <c r="CIM167" s="16"/>
      <c r="CIN167" s="16"/>
      <c r="CIO167" s="16"/>
      <c r="CIP167" s="16"/>
      <c r="CIQ167" s="16"/>
      <c r="CIR167" s="16"/>
      <c r="CIS167" s="16"/>
      <c r="CIT167" s="16"/>
      <c r="CIU167" s="16"/>
      <c r="CIV167" s="16"/>
      <c r="CIW167" s="16"/>
      <c r="CIX167" s="16"/>
      <c r="CIY167" s="16"/>
      <c r="CIZ167" s="16"/>
      <c r="CJA167" s="16"/>
      <c r="CJB167" s="16"/>
      <c r="CJC167" s="16"/>
      <c r="CJD167" s="16"/>
      <c r="CJE167" s="16"/>
      <c r="CJF167" s="16"/>
      <c r="CJG167" s="16"/>
      <c r="CJH167" s="16"/>
      <c r="CJI167" s="16"/>
      <c r="CJJ167" s="16"/>
      <c r="CJK167" s="16"/>
      <c r="CJL167" s="16"/>
      <c r="CJM167" s="16"/>
      <c r="CJN167" s="16"/>
      <c r="CJO167" s="16"/>
      <c r="CJP167" s="16"/>
      <c r="CJQ167" s="16"/>
      <c r="CJR167" s="16"/>
      <c r="CJS167" s="16"/>
      <c r="CJT167" s="16"/>
      <c r="CJU167" s="16"/>
      <c r="CJV167" s="16"/>
      <c r="CJW167" s="16"/>
      <c r="CJX167" s="16"/>
      <c r="CJY167" s="16"/>
      <c r="CJZ167" s="16"/>
      <c r="CKA167" s="16"/>
      <c r="CKB167" s="16"/>
      <c r="CKC167" s="16"/>
      <c r="CKD167" s="16"/>
      <c r="CKE167" s="16"/>
      <c r="CKF167" s="16"/>
      <c r="CKG167" s="16"/>
      <c r="CKH167" s="16"/>
      <c r="CKI167" s="16"/>
      <c r="CKJ167" s="16"/>
      <c r="CKK167" s="16"/>
      <c r="CKL167" s="16"/>
      <c r="CKM167" s="16"/>
      <c r="CKN167" s="16"/>
      <c r="CKO167" s="16"/>
      <c r="CKP167" s="16"/>
      <c r="CKQ167" s="16"/>
      <c r="CKR167" s="16"/>
      <c r="CKS167" s="16"/>
      <c r="CKT167" s="16"/>
      <c r="CKU167" s="16"/>
      <c r="CKV167" s="16"/>
      <c r="CKW167" s="16"/>
      <c r="CKX167" s="16"/>
      <c r="CKY167" s="16"/>
      <c r="CKZ167" s="16"/>
      <c r="CLA167" s="16"/>
      <c r="CLB167" s="16"/>
      <c r="CLC167" s="16"/>
      <c r="CLD167" s="16"/>
      <c r="CLE167" s="16"/>
      <c r="CLF167" s="16"/>
      <c r="CLG167" s="16"/>
      <c r="CLH167" s="16"/>
      <c r="CLI167" s="16"/>
      <c r="CLJ167" s="16"/>
      <c r="CLK167" s="16"/>
      <c r="CLL167" s="16"/>
      <c r="CLM167" s="16"/>
      <c r="CLN167" s="16"/>
      <c r="CLO167" s="16"/>
      <c r="CLP167" s="16"/>
      <c r="CLQ167" s="16"/>
      <c r="CLR167" s="16"/>
      <c r="CLS167" s="16"/>
      <c r="CLT167" s="16"/>
      <c r="CLU167" s="16"/>
      <c r="CLV167" s="16"/>
      <c r="CLW167" s="16"/>
      <c r="CLX167" s="16"/>
      <c r="CLY167" s="16"/>
      <c r="CLZ167" s="16"/>
      <c r="CMA167" s="16"/>
      <c r="CMB167" s="16"/>
      <c r="CMC167" s="16"/>
      <c r="CMD167" s="16"/>
      <c r="CME167" s="16"/>
      <c r="CMF167" s="16"/>
      <c r="CMG167" s="16"/>
      <c r="CMH167" s="16"/>
      <c r="CMI167" s="16"/>
      <c r="CMJ167" s="16"/>
      <c r="CMK167" s="16"/>
      <c r="CML167" s="16"/>
      <c r="CMM167" s="16"/>
      <c r="CMN167" s="16"/>
      <c r="CMO167" s="16"/>
      <c r="CMP167" s="16"/>
      <c r="CMQ167" s="16"/>
      <c r="CMR167" s="16"/>
      <c r="CMS167" s="16"/>
      <c r="CMT167" s="16"/>
      <c r="CMU167" s="16"/>
      <c r="CMV167" s="16"/>
      <c r="CMW167" s="16"/>
      <c r="CMX167" s="16"/>
      <c r="CMY167" s="16"/>
      <c r="CMZ167" s="16"/>
      <c r="CNA167" s="16"/>
      <c r="CNB167" s="16"/>
      <c r="CNC167" s="16"/>
      <c r="CND167" s="16"/>
      <c r="CNE167" s="16"/>
      <c r="CNF167" s="16"/>
      <c r="CNG167" s="16"/>
      <c r="CNH167" s="16"/>
      <c r="CNI167" s="16"/>
      <c r="CNJ167" s="16"/>
      <c r="CNK167" s="16"/>
      <c r="CNL167" s="16"/>
      <c r="CNM167" s="16"/>
      <c r="CNN167" s="16"/>
      <c r="CNO167" s="16"/>
      <c r="CNP167" s="16"/>
      <c r="CNQ167" s="16"/>
      <c r="CNR167" s="16"/>
      <c r="CNS167" s="16"/>
      <c r="CNT167" s="16"/>
      <c r="CNU167" s="16"/>
      <c r="CNV167" s="16"/>
      <c r="CNW167" s="16"/>
      <c r="CNX167" s="16"/>
      <c r="CNY167" s="16"/>
      <c r="CNZ167" s="16"/>
      <c r="COA167" s="16"/>
      <c r="COB167" s="16"/>
      <c r="COC167" s="16"/>
      <c r="COD167" s="16"/>
      <c r="COE167" s="16"/>
      <c r="COF167" s="16"/>
      <c r="COG167" s="16"/>
      <c r="COH167" s="16"/>
      <c r="COI167" s="16"/>
      <c r="COJ167" s="16"/>
      <c r="COK167" s="16"/>
      <c r="COL167" s="16"/>
      <c r="COM167" s="16"/>
      <c r="CON167" s="16"/>
      <c r="COO167" s="16"/>
      <c r="COP167" s="16"/>
      <c r="COQ167" s="16"/>
      <c r="COR167" s="16"/>
      <c r="COS167" s="16"/>
      <c r="COT167" s="16"/>
      <c r="COU167" s="16"/>
      <c r="COV167" s="16"/>
      <c r="COW167" s="16"/>
      <c r="COX167" s="16"/>
      <c r="COY167" s="16"/>
      <c r="COZ167" s="16"/>
      <c r="CPA167" s="16"/>
      <c r="CPB167" s="16"/>
      <c r="CPC167" s="16"/>
      <c r="CPD167" s="16"/>
      <c r="CPE167" s="16"/>
      <c r="CPF167" s="16"/>
      <c r="CPG167" s="16"/>
      <c r="CPH167" s="16"/>
      <c r="CPI167" s="16"/>
      <c r="CPJ167" s="16"/>
      <c r="CPK167" s="16"/>
      <c r="CPL167" s="16"/>
      <c r="CPM167" s="16"/>
      <c r="CPN167" s="16"/>
      <c r="CPO167" s="16"/>
      <c r="CPP167" s="16"/>
      <c r="CPQ167" s="16"/>
      <c r="CPR167" s="16"/>
      <c r="CPS167" s="16"/>
      <c r="CPT167" s="16"/>
      <c r="CPU167" s="16"/>
      <c r="CPV167" s="16"/>
      <c r="CPW167" s="16"/>
      <c r="CPX167" s="16"/>
      <c r="CPY167" s="16"/>
      <c r="CPZ167" s="16"/>
      <c r="CQA167" s="16"/>
      <c r="CQB167" s="16"/>
      <c r="CQC167" s="16"/>
      <c r="CQD167" s="16"/>
      <c r="CQE167" s="16"/>
      <c r="CQF167" s="16"/>
      <c r="CQG167" s="16"/>
      <c r="CQH167" s="16"/>
      <c r="CQI167" s="16"/>
      <c r="CQJ167" s="16"/>
      <c r="CQK167" s="16"/>
      <c r="CQL167" s="16"/>
      <c r="CQM167" s="16"/>
      <c r="CQN167" s="16"/>
      <c r="CQO167" s="16"/>
      <c r="CQP167" s="16"/>
      <c r="CQQ167" s="16"/>
      <c r="CQR167" s="16"/>
      <c r="CQS167" s="16"/>
      <c r="CQT167" s="16"/>
      <c r="CQU167" s="16"/>
      <c r="CQV167" s="16"/>
      <c r="CQW167" s="16"/>
      <c r="CQX167" s="16"/>
      <c r="CQY167" s="16"/>
      <c r="CQZ167" s="16"/>
      <c r="CRA167" s="16"/>
      <c r="CRB167" s="16"/>
      <c r="CRC167" s="16"/>
      <c r="CRD167" s="16"/>
      <c r="CRE167" s="16"/>
      <c r="CRF167" s="16"/>
      <c r="CRG167" s="16"/>
      <c r="CRH167" s="16"/>
      <c r="CRI167" s="16"/>
      <c r="CRJ167" s="16"/>
      <c r="CRK167" s="16"/>
      <c r="CRL167" s="16"/>
      <c r="CRM167" s="16"/>
      <c r="CRN167" s="16"/>
      <c r="CRO167" s="16"/>
      <c r="CRP167" s="16"/>
      <c r="CRQ167" s="16"/>
      <c r="CRR167" s="16"/>
      <c r="CRS167" s="16"/>
      <c r="CRT167" s="16"/>
      <c r="CRU167" s="16"/>
      <c r="CRV167" s="16"/>
      <c r="CRW167" s="16"/>
      <c r="CRX167" s="16"/>
      <c r="CRY167" s="16"/>
      <c r="CRZ167" s="16"/>
      <c r="CSA167" s="16"/>
      <c r="CSB167" s="16"/>
      <c r="CSC167" s="16"/>
      <c r="CSD167" s="16"/>
      <c r="CSE167" s="16"/>
      <c r="CSF167" s="16"/>
      <c r="CSG167" s="16"/>
      <c r="CSH167" s="16"/>
      <c r="CSI167" s="16"/>
      <c r="CSJ167" s="16"/>
      <c r="CSK167" s="16"/>
      <c r="CSL167" s="16"/>
      <c r="CSM167" s="16"/>
      <c r="CSN167" s="16"/>
      <c r="CSO167" s="16"/>
      <c r="CSP167" s="16"/>
      <c r="CSQ167" s="16"/>
      <c r="CSR167" s="16"/>
      <c r="CSS167" s="16"/>
      <c r="CST167" s="16"/>
      <c r="CSU167" s="16"/>
      <c r="CSV167" s="16"/>
      <c r="CSW167" s="16"/>
      <c r="CSX167" s="16"/>
      <c r="CSY167" s="16"/>
      <c r="CSZ167" s="16"/>
      <c r="CTA167" s="16"/>
      <c r="CTB167" s="16"/>
      <c r="CTC167" s="16"/>
      <c r="CTD167" s="16"/>
      <c r="CTE167" s="16"/>
      <c r="CTF167" s="16"/>
      <c r="CTG167" s="16"/>
      <c r="CTH167" s="16"/>
      <c r="CTI167" s="16"/>
      <c r="CTJ167" s="16"/>
      <c r="CTK167" s="16"/>
      <c r="CTL167" s="16"/>
      <c r="CTM167" s="16"/>
      <c r="CTN167" s="16"/>
      <c r="CTO167" s="16"/>
      <c r="CTP167" s="16"/>
      <c r="CTQ167" s="16"/>
      <c r="CTR167" s="16"/>
      <c r="CTS167" s="16"/>
      <c r="CTT167" s="16"/>
      <c r="CTU167" s="16"/>
      <c r="CTV167" s="16"/>
      <c r="CTW167" s="16"/>
      <c r="CTX167" s="16"/>
      <c r="CTY167" s="16"/>
      <c r="CTZ167" s="16"/>
      <c r="CUA167" s="16"/>
      <c r="CUB167" s="16"/>
      <c r="CUC167" s="16"/>
      <c r="CUD167" s="16"/>
      <c r="CUE167" s="16"/>
      <c r="CUF167" s="16"/>
      <c r="CUG167" s="16"/>
      <c r="CUH167" s="16"/>
      <c r="CUI167" s="16"/>
      <c r="CUJ167" s="16"/>
      <c r="CUK167" s="16"/>
      <c r="CUL167" s="16"/>
      <c r="CUM167" s="16"/>
      <c r="CUN167" s="16"/>
      <c r="CUO167" s="16"/>
      <c r="CUP167" s="16"/>
      <c r="CUQ167" s="16"/>
      <c r="CUR167" s="16"/>
      <c r="CUS167" s="16"/>
      <c r="CUT167" s="16"/>
      <c r="CUU167" s="16"/>
      <c r="CUV167" s="16"/>
      <c r="CUW167" s="16"/>
      <c r="CUX167" s="16"/>
      <c r="CUY167" s="16"/>
      <c r="CUZ167" s="16"/>
      <c r="CVA167" s="16"/>
      <c r="CVB167" s="16"/>
      <c r="CVC167" s="16"/>
      <c r="CVD167" s="16"/>
      <c r="CVE167" s="16"/>
      <c r="CVF167" s="16"/>
      <c r="CVG167" s="16"/>
      <c r="CVH167" s="16"/>
      <c r="CVI167" s="16"/>
      <c r="CVJ167" s="16"/>
      <c r="CVK167" s="16"/>
      <c r="CVL167" s="16"/>
      <c r="CVM167" s="16"/>
      <c r="CVN167" s="16"/>
      <c r="CVO167" s="16"/>
      <c r="CVP167" s="16"/>
      <c r="CVQ167" s="16"/>
      <c r="CVR167" s="16"/>
      <c r="CVS167" s="16"/>
      <c r="CVT167" s="16"/>
      <c r="CVU167" s="16"/>
      <c r="CVV167" s="16"/>
      <c r="CVW167" s="16"/>
      <c r="CVX167" s="16"/>
      <c r="CVY167" s="16"/>
      <c r="CVZ167" s="16"/>
      <c r="CWA167" s="16"/>
      <c r="CWB167" s="16"/>
      <c r="CWC167" s="16"/>
      <c r="CWD167" s="16"/>
      <c r="CWE167" s="16"/>
      <c r="CWF167" s="16"/>
      <c r="CWG167" s="16"/>
      <c r="CWH167" s="16"/>
      <c r="CWI167" s="16"/>
      <c r="CWJ167" s="16"/>
      <c r="CWK167" s="16"/>
      <c r="CWL167" s="16"/>
      <c r="CWM167" s="16"/>
      <c r="CWN167" s="16"/>
      <c r="CWO167" s="16"/>
      <c r="CWP167" s="16"/>
      <c r="CWQ167" s="16"/>
      <c r="CWR167" s="16"/>
      <c r="CWS167" s="16"/>
      <c r="CWT167" s="16"/>
      <c r="CWU167" s="16"/>
      <c r="CWV167" s="16"/>
      <c r="CWW167" s="16"/>
      <c r="CWX167" s="16"/>
      <c r="CWY167" s="16"/>
      <c r="CWZ167" s="16"/>
      <c r="CXA167" s="16"/>
      <c r="CXB167" s="16"/>
      <c r="CXC167" s="16"/>
      <c r="CXD167" s="16"/>
      <c r="CXE167" s="16"/>
      <c r="CXF167" s="16"/>
      <c r="CXG167" s="16"/>
      <c r="CXH167" s="16"/>
      <c r="CXI167" s="16"/>
      <c r="CXJ167" s="16"/>
      <c r="CXK167" s="16"/>
      <c r="CXL167" s="16"/>
      <c r="CXM167" s="16"/>
      <c r="CXN167" s="16"/>
      <c r="CXO167" s="16"/>
      <c r="CXP167" s="16"/>
      <c r="CXQ167" s="16"/>
      <c r="CXR167" s="16"/>
      <c r="CXS167" s="16"/>
      <c r="CXT167" s="16"/>
      <c r="CXU167" s="16"/>
      <c r="CXV167" s="16"/>
      <c r="CXW167" s="16"/>
      <c r="CXX167" s="16"/>
      <c r="CXY167" s="16"/>
      <c r="CXZ167" s="16"/>
      <c r="CYA167" s="16"/>
      <c r="CYB167" s="16"/>
      <c r="CYC167" s="16"/>
      <c r="CYD167" s="16"/>
      <c r="CYE167" s="16"/>
      <c r="CYF167" s="16"/>
      <c r="CYG167" s="16"/>
      <c r="CYH167" s="16"/>
      <c r="CYI167" s="16"/>
      <c r="CYJ167" s="16"/>
      <c r="CYK167" s="16"/>
      <c r="CYL167" s="16"/>
      <c r="CYM167" s="16"/>
      <c r="CYN167" s="16"/>
      <c r="CYO167" s="16"/>
      <c r="CYP167" s="16"/>
      <c r="CYQ167" s="16"/>
      <c r="CYR167" s="16"/>
      <c r="CYS167" s="16"/>
      <c r="CYT167" s="16"/>
      <c r="CYU167" s="16"/>
      <c r="CYV167" s="16"/>
      <c r="CYW167" s="16"/>
      <c r="CYX167" s="16"/>
      <c r="CYY167" s="16"/>
      <c r="CYZ167" s="16"/>
      <c r="CZA167" s="16"/>
      <c r="CZB167" s="16"/>
      <c r="CZC167" s="16"/>
      <c r="CZD167" s="16"/>
      <c r="CZE167" s="16"/>
      <c r="CZF167" s="16"/>
      <c r="CZG167" s="16"/>
      <c r="CZH167" s="16"/>
      <c r="CZI167" s="16"/>
      <c r="CZJ167" s="16"/>
      <c r="CZK167" s="16"/>
      <c r="CZL167" s="16"/>
      <c r="CZM167" s="16"/>
      <c r="CZN167" s="16"/>
      <c r="CZO167" s="16"/>
      <c r="CZP167" s="16"/>
      <c r="CZQ167" s="16"/>
      <c r="CZR167" s="16"/>
      <c r="CZS167" s="16"/>
      <c r="CZT167" s="16"/>
      <c r="CZU167" s="16"/>
      <c r="CZV167" s="16"/>
      <c r="CZW167" s="16"/>
      <c r="CZX167" s="16"/>
      <c r="CZY167" s="16"/>
      <c r="CZZ167" s="16"/>
      <c r="DAA167" s="16"/>
      <c r="DAB167" s="16"/>
      <c r="DAC167" s="16"/>
      <c r="DAD167" s="16"/>
      <c r="DAE167" s="16"/>
      <c r="DAF167" s="16"/>
      <c r="DAG167" s="16"/>
      <c r="DAH167" s="16"/>
      <c r="DAI167" s="16"/>
      <c r="DAJ167" s="16"/>
      <c r="DAK167" s="16"/>
      <c r="DAL167" s="16"/>
      <c r="DAM167" s="16"/>
      <c r="DAN167" s="16"/>
      <c r="DAO167" s="16"/>
      <c r="DAP167" s="16"/>
      <c r="DAQ167" s="16"/>
      <c r="DAR167" s="16"/>
      <c r="DAS167" s="16"/>
      <c r="DAT167" s="16"/>
      <c r="DAU167" s="16"/>
      <c r="DAV167" s="16"/>
      <c r="DAW167" s="16"/>
      <c r="DAX167" s="16"/>
      <c r="DAY167" s="16"/>
      <c r="DAZ167" s="16"/>
      <c r="DBA167" s="16"/>
      <c r="DBB167" s="16"/>
      <c r="DBC167" s="16"/>
      <c r="DBD167" s="16"/>
      <c r="DBE167" s="16"/>
      <c r="DBF167" s="16"/>
      <c r="DBG167" s="16"/>
      <c r="DBH167" s="16"/>
      <c r="DBI167" s="16"/>
      <c r="DBJ167" s="16"/>
      <c r="DBK167" s="16"/>
      <c r="DBL167" s="16"/>
      <c r="DBM167" s="16"/>
      <c r="DBN167" s="16"/>
      <c r="DBO167" s="16"/>
      <c r="DBP167" s="16"/>
      <c r="DBQ167" s="16"/>
      <c r="DBR167" s="16"/>
      <c r="DBS167" s="16"/>
      <c r="DBT167" s="16"/>
      <c r="DBU167" s="16"/>
      <c r="DBV167" s="16"/>
      <c r="DBW167" s="16"/>
      <c r="DBX167" s="16"/>
      <c r="DBY167" s="16"/>
      <c r="DBZ167" s="16"/>
      <c r="DCA167" s="16"/>
      <c r="DCB167" s="16"/>
      <c r="DCC167" s="16"/>
      <c r="DCD167" s="16"/>
      <c r="DCE167" s="16"/>
      <c r="DCF167" s="16"/>
      <c r="DCG167" s="16"/>
      <c r="DCH167" s="16"/>
      <c r="DCI167" s="16"/>
      <c r="DCJ167" s="16"/>
      <c r="DCK167" s="16"/>
      <c r="DCL167" s="16"/>
      <c r="DCM167" s="16"/>
      <c r="DCN167" s="16"/>
      <c r="DCO167" s="16"/>
      <c r="DCP167" s="16"/>
      <c r="DCQ167" s="16"/>
      <c r="DCR167" s="16"/>
      <c r="DCS167" s="16"/>
      <c r="DCT167" s="16"/>
      <c r="DCU167" s="16"/>
      <c r="DCV167" s="16"/>
      <c r="DCW167" s="16"/>
      <c r="DCX167" s="16"/>
      <c r="DCY167" s="16"/>
      <c r="DCZ167" s="16"/>
      <c r="DDA167" s="16"/>
      <c r="DDB167" s="16"/>
      <c r="DDC167" s="16"/>
      <c r="DDD167" s="16"/>
      <c r="DDE167" s="16"/>
      <c r="DDF167" s="16"/>
      <c r="DDG167" s="16"/>
      <c r="DDH167" s="16"/>
      <c r="DDI167" s="16"/>
      <c r="DDJ167" s="16"/>
      <c r="DDK167" s="16"/>
      <c r="DDL167" s="16"/>
      <c r="DDM167" s="16"/>
      <c r="DDN167" s="16"/>
      <c r="DDO167" s="16"/>
      <c r="DDP167" s="16"/>
      <c r="DDQ167" s="16"/>
      <c r="DDR167" s="16"/>
      <c r="DDS167" s="16"/>
      <c r="DDT167" s="16"/>
      <c r="DDU167" s="16"/>
      <c r="DDV167" s="16"/>
      <c r="DDW167" s="16"/>
      <c r="DDX167" s="16"/>
      <c r="DDY167" s="16"/>
      <c r="DDZ167" s="16"/>
      <c r="DEA167" s="16"/>
      <c r="DEB167" s="16"/>
      <c r="DEC167" s="16"/>
      <c r="DED167" s="16"/>
      <c r="DEE167" s="16"/>
      <c r="DEF167" s="16"/>
      <c r="DEG167" s="16"/>
      <c r="DEH167" s="16"/>
      <c r="DEI167" s="16"/>
      <c r="DEJ167" s="16"/>
      <c r="DEK167" s="16"/>
      <c r="DEL167" s="16"/>
      <c r="DEM167" s="16"/>
      <c r="DEN167" s="16"/>
      <c r="DEO167" s="16"/>
      <c r="DEP167" s="16"/>
      <c r="DEQ167" s="16"/>
      <c r="DER167" s="16"/>
      <c r="DES167" s="16"/>
      <c r="DET167" s="16"/>
      <c r="DEU167" s="16"/>
      <c r="DEV167" s="16"/>
      <c r="DEW167" s="16"/>
      <c r="DEX167" s="16"/>
      <c r="DEY167" s="16"/>
      <c r="DEZ167" s="16"/>
      <c r="DFA167" s="16"/>
      <c r="DFB167" s="16"/>
      <c r="DFC167" s="16"/>
      <c r="DFD167" s="16"/>
      <c r="DFE167" s="16"/>
      <c r="DFF167" s="16"/>
      <c r="DFG167" s="16"/>
      <c r="DFH167" s="16"/>
      <c r="DFI167" s="16"/>
      <c r="DFJ167" s="16"/>
      <c r="DFK167" s="16"/>
      <c r="DFL167" s="16"/>
      <c r="DFM167" s="16"/>
      <c r="DFN167" s="16"/>
      <c r="DFO167" s="16"/>
      <c r="DFP167" s="16"/>
      <c r="DFQ167" s="16"/>
      <c r="DFR167" s="16"/>
      <c r="DFS167" s="16"/>
      <c r="DFT167" s="16"/>
      <c r="DFU167" s="16"/>
      <c r="DFV167" s="16"/>
      <c r="DFW167" s="16"/>
      <c r="DFX167" s="16"/>
      <c r="DFY167" s="16"/>
      <c r="DFZ167" s="16"/>
      <c r="DGA167" s="16"/>
      <c r="DGB167" s="16"/>
      <c r="DGC167" s="16"/>
      <c r="DGD167" s="16"/>
      <c r="DGE167" s="16"/>
      <c r="DGF167" s="16"/>
      <c r="DGG167" s="16"/>
      <c r="DGH167" s="16"/>
      <c r="DGI167" s="16"/>
      <c r="DGJ167" s="16"/>
      <c r="DGK167" s="16"/>
      <c r="DGL167" s="16"/>
      <c r="DGM167" s="16"/>
      <c r="DGN167" s="16"/>
      <c r="DGO167" s="16"/>
      <c r="DGP167" s="16"/>
      <c r="DGQ167" s="16"/>
      <c r="DGR167" s="16"/>
      <c r="DGS167" s="16"/>
      <c r="DGT167" s="16"/>
      <c r="DGU167" s="16"/>
      <c r="DGV167" s="16"/>
      <c r="DGW167" s="16"/>
      <c r="DGX167" s="16"/>
      <c r="DGY167" s="16"/>
      <c r="DGZ167" s="16"/>
      <c r="DHA167" s="16"/>
      <c r="DHB167" s="16"/>
      <c r="DHC167" s="16"/>
      <c r="DHD167" s="16"/>
      <c r="DHE167" s="16"/>
      <c r="DHF167" s="16"/>
      <c r="DHG167" s="16"/>
      <c r="DHH167" s="16"/>
      <c r="DHI167" s="16"/>
      <c r="DHJ167" s="16"/>
      <c r="DHK167" s="16"/>
      <c r="DHL167" s="16"/>
      <c r="DHM167" s="16"/>
      <c r="DHN167" s="16"/>
      <c r="DHO167" s="16"/>
      <c r="DHP167" s="16"/>
      <c r="DHQ167" s="16"/>
      <c r="DHR167" s="16"/>
      <c r="DHS167" s="16"/>
      <c r="DHT167" s="16"/>
      <c r="DHU167" s="16"/>
      <c r="DHV167" s="16"/>
      <c r="DHW167" s="16"/>
      <c r="DHX167" s="16"/>
      <c r="DHY167" s="16"/>
      <c r="DHZ167" s="16"/>
      <c r="DIA167" s="16"/>
      <c r="DIB167" s="16"/>
      <c r="DIC167" s="16"/>
      <c r="DID167" s="16"/>
      <c r="DIE167" s="16"/>
      <c r="DIF167" s="16"/>
      <c r="DIG167" s="16"/>
      <c r="DIH167" s="16"/>
      <c r="DII167" s="16"/>
      <c r="DIJ167" s="16"/>
      <c r="DIK167" s="16"/>
      <c r="DIL167" s="16"/>
      <c r="DIM167" s="16"/>
      <c r="DIN167" s="16"/>
      <c r="DIO167" s="16"/>
      <c r="DIP167" s="16"/>
      <c r="DIQ167" s="16"/>
      <c r="DIR167" s="16"/>
      <c r="DIS167" s="16"/>
      <c r="DIT167" s="16"/>
      <c r="DIU167" s="16"/>
      <c r="DIV167" s="16"/>
      <c r="DIW167" s="16"/>
      <c r="DIX167" s="16"/>
      <c r="DIY167" s="16"/>
      <c r="DIZ167" s="16"/>
      <c r="DJA167" s="16"/>
      <c r="DJB167" s="16"/>
      <c r="DJC167" s="16"/>
      <c r="DJD167" s="16"/>
      <c r="DJE167" s="16"/>
      <c r="DJF167" s="16"/>
      <c r="DJG167" s="16"/>
      <c r="DJH167" s="16"/>
      <c r="DJI167" s="16"/>
      <c r="DJJ167" s="16"/>
      <c r="DJK167" s="16"/>
      <c r="DJL167" s="16"/>
      <c r="DJM167" s="16"/>
      <c r="DJN167" s="16"/>
      <c r="DJO167" s="16"/>
      <c r="DJP167" s="16"/>
      <c r="DJQ167" s="16"/>
      <c r="DJR167" s="16"/>
      <c r="DJS167" s="16"/>
      <c r="DJT167" s="16"/>
      <c r="DJU167" s="16"/>
      <c r="DJV167" s="16"/>
      <c r="DJW167" s="16"/>
      <c r="DJX167" s="16"/>
      <c r="DJY167" s="16"/>
      <c r="DJZ167" s="16"/>
      <c r="DKA167" s="16"/>
      <c r="DKB167" s="16"/>
      <c r="DKC167" s="16"/>
      <c r="DKD167" s="16"/>
      <c r="DKE167" s="16"/>
      <c r="DKF167" s="16"/>
      <c r="DKG167" s="16"/>
      <c r="DKH167" s="16"/>
      <c r="DKI167" s="16"/>
      <c r="DKJ167" s="16"/>
      <c r="DKK167" s="16"/>
      <c r="DKL167" s="16"/>
      <c r="DKM167" s="16"/>
      <c r="DKN167" s="16"/>
      <c r="DKO167" s="16"/>
      <c r="DKP167" s="16"/>
      <c r="DKQ167" s="16"/>
      <c r="DKR167" s="16"/>
      <c r="DKS167" s="16"/>
      <c r="DKT167" s="16"/>
      <c r="DKU167" s="16"/>
      <c r="DKV167" s="16"/>
      <c r="DKW167" s="16"/>
      <c r="DKX167" s="16"/>
      <c r="DKY167" s="16"/>
      <c r="DKZ167" s="16"/>
      <c r="DLA167" s="16"/>
      <c r="DLB167" s="16"/>
      <c r="DLC167" s="16"/>
      <c r="DLD167" s="16"/>
      <c r="DLE167" s="16"/>
      <c r="DLF167" s="16"/>
      <c r="DLG167" s="16"/>
      <c r="DLH167" s="16"/>
      <c r="DLI167" s="16"/>
      <c r="DLJ167" s="16"/>
      <c r="DLK167" s="16"/>
      <c r="DLL167" s="16"/>
      <c r="DLM167" s="16"/>
      <c r="DLN167" s="16"/>
      <c r="DLO167" s="16"/>
      <c r="DLP167" s="16"/>
      <c r="DLQ167" s="16"/>
      <c r="DLR167" s="16"/>
      <c r="DLS167" s="16"/>
      <c r="DLT167" s="16"/>
      <c r="DLU167" s="16"/>
      <c r="DLV167" s="16"/>
      <c r="DLW167" s="16"/>
      <c r="DLX167" s="16"/>
      <c r="DLY167" s="16"/>
      <c r="DLZ167" s="16"/>
      <c r="DMA167" s="16"/>
      <c r="DMB167" s="16"/>
      <c r="DMC167" s="16"/>
      <c r="DMD167" s="16"/>
      <c r="DME167" s="16"/>
      <c r="DMF167" s="16"/>
      <c r="DMG167" s="16"/>
      <c r="DMH167" s="16"/>
      <c r="DMI167" s="16"/>
      <c r="DMJ167" s="16"/>
      <c r="DMK167" s="16"/>
      <c r="DML167" s="16"/>
      <c r="DMM167" s="16"/>
      <c r="DMN167" s="16"/>
      <c r="DMO167" s="16"/>
      <c r="DMP167" s="16"/>
      <c r="DMQ167" s="16"/>
      <c r="DMR167" s="16"/>
      <c r="DMS167" s="16"/>
      <c r="DMT167" s="16"/>
      <c r="DMU167" s="16"/>
      <c r="DMV167" s="16"/>
      <c r="DMW167" s="16"/>
      <c r="DMX167" s="16"/>
      <c r="DMY167" s="16"/>
      <c r="DMZ167" s="16"/>
      <c r="DNA167" s="16"/>
      <c r="DNB167" s="16"/>
      <c r="DNC167" s="16"/>
      <c r="DND167" s="16"/>
      <c r="DNE167" s="16"/>
      <c r="DNF167" s="16"/>
      <c r="DNG167" s="16"/>
      <c r="DNH167" s="16"/>
      <c r="DNI167" s="16"/>
      <c r="DNJ167" s="16"/>
      <c r="DNK167" s="16"/>
      <c r="DNL167" s="16"/>
      <c r="DNM167" s="16"/>
      <c r="DNN167" s="16"/>
      <c r="DNO167" s="16"/>
      <c r="DNP167" s="16"/>
      <c r="DNQ167" s="16"/>
      <c r="DNR167" s="16"/>
      <c r="DNS167" s="16"/>
      <c r="DNT167" s="16"/>
      <c r="DNU167" s="16"/>
      <c r="DNV167" s="16"/>
      <c r="DNW167" s="16"/>
      <c r="DNX167" s="16"/>
      <c r="DNY167" s="16"/>
      <c r="DNZ167" s="16"/>
      <c r="DOA167" s="16"/>
      <c r="DOB167" s="16"/>
      <c r="DOC167" s="16"/>
      <c r="DOD167" s="16"/>
      <c r="DOE167" s="16"/>
      <c r="DOF167" s="16"/>
      <c r="DOG167" s="16"/>
      <c r="DOH167" s="16"/>
      <c r="DOI167" s="16"/>
      <c r="DOJ167" s="16"/>
      <c r="DOK167" s="16"/>
      <c r="DOL167" s="16"/>
      <c r="DOM167" s="16"/>
      <c r="DON167" s="16"/>
      <c r="DOO167" s="16"/>
      <c r="DOP167" s="16"/>
      <c r="DOQ167" s="16"/>
      <c r="DOR167" s="16"/>
      <c r="DOS167" s="16"/>
      <c r="DOT167" s="16"/>
      <c r="DOU167" s="16"/>
      <c r="DOV167" s="16"/>
      <c r="DOW167" s="16"/>
      <c r="DOX167" s="16"/>
      <c r="DOY167" s="16"/>
      <c r="DOZ167" s="16"/>
      <c r="DPA167" s="16"/>
      <c r="DPB167" s="16"/>
      <c r="DPC167" s="16"/>
      <c r="DPD167" s="16"/>
      <c r="DPE167" s="16"/>
      <c r="DPF167" s="16"/>
      <c r="DPG167" s="16"/>
      <c r="DPH167" s="16"/>
      <c r="DPI167" s="16"/>
      <c r="DPJ167" s="16"/>
      <c r="DPK167" s="16"/>
      <c r="DPL167" s="16"/>
      <c r="DPM167" s="16"/>
      <c r="DPN167" s="16"/>
      <c r="DPO167" s="16"/>
      <c r="DPP167" s="16"/>
      <c r="DPQ167" s="16"/>
      <c r="DPR167" s="16"/>
      <c r="DPS167" s="16"/>
      <c r="DPT167" s="16"/>
      <c r="DPU167" s="16"/>
      <c r="DPV167" s="16"/>
      <c r="DPW167" s="16"/>
      <c r="DPX167" s="16"/>
      <c r="DPY167" s="16"/>
      <c r="DPZ167" s="16"/>
      <c r="DQA167" s="16"/>
      <c r="DQB167" s="16"/>
      <c r="DQC167" s="16"/>
      <c r="DQD167" s="16"/>
      <c r="DQE167" s="16"/>
      <c r="DQF167" s="16"/>
      <c r="DQG167" s="16"/>
      <c r="DQH167" s="16"/>
      <c r="DQI167" s="16"/>
      <c r="DQJ167" s="16"/>
      <c r="DQK167" s="16"/>
      <c r="DQL167" s="16"/>
      <c r="DQM167" s="16"/>
      <c r="DQN167" s="16"/>
      <c r="DQO167" s="16"/>
      <c r="DQP167" s="16"/>
      <c r="DQQ167" s="16"/>
      <c r="DQR167" s="16"/>
      <c r="DQS167" s="16"/>
      <c r="DQT167" s="16"/>
      <c r="DQU167" s="16"/>
      <c r="DQV167" s="16"/>
      <c r="DQW167" s="16"/>
      <c r="DQX167" s="16"/>
      <c r="DQY167" s="16"/>
      <c r="DQZ167" s="16"/>
      <c r="DRA167" s="16"/>
      <c r="DRB167" s="16"/>
      <c r="DRC167" s="16"/>
      <c r="DRD167" s="16"/>
      <c r="DRE167" s="16"/>
      <c r="DRF167" s="16"/>
      <c r="DRG167" s="16"/>
      <c r="DRH167" s="16"/>
      <c r="DRI167" s="16"/>
      <c r="DRJ167" s="16"/>
      <c r="DRK167" s="16"/>
      <c r="DRL167" s="16"/>
      <c r="DRM167" s="16"/>
      <c r="DRN167" s="16"/>
      <c r="DRO167" s="16"/>
      <c r="DRP167" s="16"/>
      <c r="DRQ167" s="16"/>
      <c r="DRR167" s="16"/>
      <c r="DRS167" s="16"/>
      <c r="DRT167" s="16"/>
      <c r="DRU167" s="16"/>
      <c r="DRV167" s="16"/>
      <c r="DRW167" s="16"/>
      <c r="DRX167" s="16"/>
      <c r="DRY167" s="16"/>
      <c r="DRZ167" s="16"/>
      <c r="DSA167" s="16"/>
      <c r="DSB167" s="16"/>
      <c r="DSC167" s="16"/>
      <c r="DSD167" s="16"/>
      <c r="DSE167" s="16"/>
      <c r="DSF167" s="16"/>
      <c r="DSG167" s="16"/>
      <c r="DSH167" s="16"/>
      <c r="DSI167" s="16"/>
      <c r="DSJ167" s="16"/>
      <c r="DSK167" s="16"/>
      <c r="DSL167" s="16"/>
      <c r="DSM167" s="16"/>
      <c r="DSN167" s="16"/>
      <c r="DSO167" s="16"/>
      <c r="DSP167" s="16"/>
      <c r="DSQ167" s="16"/>
      <c r="DSR167" s="16"/>
      <c r="DSS167" s="16"/>
      <c r="DST167" s="16"/>
      <c r="DSU167" s="16"/>
      <c r="DSV167" s="16"/>
      <c r="DSW167" s="16"/>
      <c r="DSX167" s="16"/>
      <c r="DSY167" s="16"/>
      <c r="DSZ167" s="16"/>
      <c r="DTA167" s="16"/>
      <c r="DTB167" s="16"/>
      <c r="DTC167" s="16"/>
      <c r="DTD167" s="16"/>
      <c r="DTE167" s="16"/>
      <c r="DTF167" s="16"/>
      <c r="DTG167" s="16"/>
      <c r="DTH167" s="16"/>
      <c r="DTI167" s="16"/>
      <c r="DTJ167" s="16"/>
      <c r="DTK167" s="16"/>
      <c r="DTL167" s="16"/>
      <c r="DTM167" s="16"/>
      <c r="DTN167" s="16"/>
      <c r="DTO167" s="16"/>
      <c r="DTP167" s="16"/>
      <c r="DTQ167" s="16"/>
      <c r="DTR167" s="16"/>
      <c r="DTS167" s="16"/>
      <c r="DTT167" s="16"/>
      <c r="DTU167" s="16"/>
      <c r="DTV167" s="16"/>
      <c r="DTW167" s="16"/>
      <c r="DTX167" s="16"/>
      <c r="DTY167" s="16"/>
      <c r="DTZ167" s="16"/>
      <c r="DUA167" s="16"/>
      <c r="DUB167" s="16"/>
      <c r="DUC167" s="16"/>
      <c r="DUD167" s="16"/>
      <c r="DUE167" s="16"/>
      <c r="DUF167" s="16"/>
      <c r="DUG167" s="16"/>
      <c r="DUH167" s="16"/>
      <c r="DUI167" s="16"/>
      <c r="DUJ167" s="16"/>
      <c r="DUK167" s="16"/>
      <c r="DUL167" s="16"/>
      <c r="DUM167" s="16"/>
      <c r="DUN167" s="16"/>
      <c r="DUO167" s="16"/>
      <c r="DUP167" s="16"/>
      <c r="DUQ167" s="16"/>
      <c r="DUR167" s="16"/>
      <c r="DUS167" s="16"/>
      <c r="DUT167" s="16"/>
      <c r="DUU167" s="16"/>
      <c r="DUV167" s="16"/>
      <c r="DUW167" s="16"/>
      <c r="DUX167" s="16"/>
      <c r="DUY167" s="16"/>
      <c r="DUZ167" s="16"/>
      <c r="DVA167" s="16"/>
      <c r="DVB167" s="16"/>
      <c r="DVC167" s="16"/>
      <c r="DVD167" s="16"/>
      <c r="DVE167" s="16"/>
      <c r="DVF167" s="16"/>
      <c r="DVG167" s="16"/>
      <c r="DVH167" s="16"/>
      <c r="DVI167" s="16"/>
      <c r="DVJ167" s="16"/>
      <c r="DVK167" s="16"/>
      <c r="DVL167" s="16"/>
      <c r="DVM167" s="16"/>
      <c r="DVN167" s="16"/>
      <c r="DVO167" s="16"/>
      <c r="DVP167" s="16"/>
      <c r="DVQ167" s="16"/>
      <c r="DVR167" s="16"/>
      <c r="DVS167" s="16"/>
      <c r="DVT167" s="16"/>
      <c r="DVU167" s="16"/>
      <c r="DVV167" s="16"/>
      <c r="DVW167" s="16"/>
      <c r="DVX167" s="16"/>
      <c r="DVY167" s="16"/>
      <c r="DVZ167" s="16"/>
      <c r="DWA167" s="16"/>
      <c r="DWB167" s="16"/>
      <c r="DWC167" s="16"/>
      <c r="DWD167" s="16"/>
      <c r="DWE167" s="16"/>
      <c r="DWF167" s="16"/>
      <c r="DWG167" s="16"/>
      <c r="DWH167" s="16"/>
      <c r="DWI167" s="16"/>
      <c r="DWJ167" s="16"/>
      <c r="DWK167" s="16"/>
      <c r="DWL167" s="16"/>
      <c r="DWM167" s="16"/>
      <c r="DWN167" s="16"/>
      <c r="DWO167" s="16"/>
      <c r="DWP167" s="16"/>
      <c r="DWQ167" s="16"/>
      <c r="DWR167" s="16"/>
      <c r="DWS167" s="16"/>
      <c r="DWT167" s="16"/>
      <c r="DWU167" s="16"/>
      <c r="DWV167" s="16"/>
      <c r="DWW167" s="16"/>
      <c r="DWX167" s="16"/>
      <c r="DWY167" s="16"/>
      <c r="DWZ167" s="16"/>
      <c r="DXA167" s="16"/>
      <c r="DXB167" s="16"/>
      <c r="DXC167" s="16"/>
    </row>
    <row r="168" spans="1:3331" x14ac:dyDescent="0.2">
      <c r="A168" s="14">
        <v>160</v>
      </c>
      <c r="B168" s="28" t="s">
        <v>312</v>
      </c>
      <c r="C168" s="14" t="s">
        <v>785</v>
      </c>
      <c r="D168" s="28"/>
      <c r="E168" s="28"/>
      <c r="F168" s="83"/>
      <c r="G168" s="83"/>
      <c r="H168" s="83"/>
      <c r="I168" s="83"/>
      <c r="J168" s="96"/>
      <c r="K168" s="96"/>
      <c r="L168" s="96"/>
      <c r="M168" s="96"/>
      <c r="N168" s="83"/>
      <c r="O168" s="83"/>
      <c r="P168" s="83"/>
      <c r="Q168" s="83"/>
      <c r="R168" s="96"/>
      <c r="S168" s="96"/>
      <c r="T168" s="96"/>
      <c r="U168" s="96"/>
      <c r="V168" s="83"/>
      <c r="W168" s="83"/>
      <c r="X168" s="83"/>
      <c r="Y168" s="83"/>
      <c r="Z168" s="96"/>
      <c r="AA168" s="96"/>
      <c r="AB168" s="96"/>
      <c r="AC168" s="96"/>
      <c r="AD168" s="83"/>
      <c r="AE168" s="83"/>
      <c r="AF168" s="83"/>
      <c r="AG168" s="83"/>
      <c r="AH168" s="96"/>
      <c r="AI168" s="96"/>
      <c r="AJ168" s="96"/>
      <c r="AK168" s="96"/>
      <c r="AL168" s="83"/>
      <c r="AM168" s="83"/>
      <c r="AN168" s="83"/>
      <c r="AO168" s="83"/>
      <c r="AP168" s="96"/>
      <c r="AQ168" s="96"/>
      <c r="AR168" s="96"/>
      <c r="AS168" s="96"/>
      <c r="AT168" s="83"/>
      <c r="AU168" s="83"/>
      <c r="AV168" s="83"/>
      <c r="AW168" s="83"/>
      <c r="AX168" s="96"/>
      <c r="AY168" s="96"/>
      <c r="AZ168" s="96"/>
      <c r="BA168" s="96"/>
      <c r="BB168" s="83"/>
      <c r="BC168" s="83"/>
      <c r="BD168" s="83"/>
      <c r="BE168" s="83"/>
      <c r="BF168" s="96"/>
      <c r="BG168" s="96"/>
      <c r="BH168" s="96"/>
      <c r="BI168" s="96"/>
      <c r="BJ168" s="83"/>
      <c r="BK168" s="83"/>
      <c r="BL168" s="83"/>
      <c r="BM168" s="83"/>
      <c r="BN168" s="96"/>
      <c r="BO168" s="96"/>
      <c r="BP168" s="96"/>
      <c r="BQ168" s="96"/>
      <c r="BR168" s="83"/>
      <c r="BS168" s="83"/>
      <c r="BT168" s="83"/>
      <c r="BU168" s="83"/>
      <c r="BV168" s="96"/>
      <c r="BW168" s="96"/>
      <c r="BX168" s="96"/>
      <c r="BY168" s="96"/>
      <c r="BZ168" s="83"/>
      <c r="CA168" s="83"/>
      <c r="CB168" s="83"/>
      <c r="CC168" s="83"/>
      <c r="CD168" s="96"/>
      <c r="CE168" s="96"/>
      <c r="CF168" s="96"/>
      <c r="CG168" s="96"/>
      <c r="CH168" s="83"/>
      <c r="CI168" s="83"/>
      <c r="CJ168" s="83"/>
      <c r="CK168" s="83"/>
      <c r="CL168" s="96"/>
      <c r="CM168" s="96"/>
      <c r="CN168" s="96"/>
      <c r="CO168" s="96"/>
      <c r="CP168" s="83"/>
      <c r="CQ168" s="83"/>
      <c r="CR168" s="83"/>
      <c r="CS168" s="83"/>
      <c r="CT168" s="96"/>
      <c r="CU168" s="96"/>
      <c r="CV168" s="96"/>
      <c r="CW168" s="96"/>
      <c r="CX168" s="83"/>
      <c r="CY168" s="83"/>
      <c r="CZ168" s="83"/>
      <c r="DA168" s="83"/>
      <c r="DB168" s="96"/>
      <c r="DC168" s="83"/>
      <c r="DD168" s="96"/>
      <c r="DE168" s="102"/>
    </row>
    <row r="169" spans="1:3331" x14ac:dyDescent="0.2">
      <c r="A169" s="14">
        <v>161</v>
      </c>
      <c r="B169" s="28" t="s">
        <v>254</v>
      </c>
      <c r="C169" s="14" t="s">
        <v>786</v>
      </c>
      <c r="D169" s="28"/>
      <c r="E169" s="28"/>
      <c r="F169" s="83" t="s">
        <v>966</v>
      </c>
      <c r="G169" s="83" t="s">
        <v>658</v>
      </c>
      <c r="H169" s="83">
        <v>0.875</v>
      </c>
      <c r="I169" s="83">
        <v>66564.618352272722</v>
      </c>
      <c r="J169" s="96" t="s">
        <v>948</v>
      </c>
      <c r="K169" s="96" t="s">
        <v>658</v>
      </c>
      <c r="L169" s="96">
        <v>1</v>
      </c>
      <c r="M169" s="96">
        <v>76073.849545454505</v>
      </c>
      <c r="N169" s="83"/>
      <c r="O169" s="83"/>
      <c r="P169" s="83"/>
      <c r="Q169" s="83"/>
      <c r="R169" s="96"/>
      <c r="S169" s="96"/>
      <c r="T169" s="96"/>
      <c r="U169" s="96"/>
      <c r="V169" s="83"/>
      <c r="W169" s="83"/>
      <c r="X169" s="83"/>
      <c r="Y169" s="83"/>
      <c r="Z169" s="96"/>
      <c r="AA169" s="96"/>
      <c r="AB169" s="96"/>
      <c r="AC169" s="96"/>
      <c r="AD169" s="83"/>
      <c r="AE169" s="83"/>
      <c r="AF169" s="83"/>
      <c r="AG169" s="83"/>
      <c r="AH169" s="96"/>
      <c r="AI169" s="96"/>
      <c r="AJ169" s="96"/>
      <c r="AK169" s="96"/>
      <c r="AL169" s="83"/>
      <c r="AM169" s="83"/>
      <c r="AN169" s="83"/>
      <c r="AO169" s="83"/>
      <c r="AP169" s="96"/>
      <c r="AQ169" s="96"/>
      <c r="AR169" s="96"/>
      <c r="AS169" s="96"/>
      <c r="AT169" s="83"/>
      <c r="AU169" s="83"/>
      <c r="AV169" s="83"/>
      <c r="AW169" s="83"/>
      <c r="AX169" s="96"/>
      <c r="AY169" s="96"/>
      <c r="AZ169" s="96"/>
      <c r="BA169" s="96"/>
      <c r="BB169" s="83"/>
      <c r="BC169" s="83"/>
      <c r="BD169" s="83"/>
      <c r="BE169" s="83"/>
      <c r="BF169" s="96"/>
      <c r="BG169" s="96"/>
      <c r="BH169" s="96"/>
      <c r="BI169" s="96"/>
      <c r="BJ169" s="83"/>
      <c r="BK169" s="83"/>
      <c r="BL169" s="83"/>
      <c r="BM169" s="83"/>
      <c r="BN169" s="96"/>
      <c r="BO169" s="96"/>
      <c r="BP169" s="96"/>
      <c r="BQ169" s="96"/>
      <c r="BR169" s="83"/>
      <c r="BS169" s="83"/>
      <c r="BT169" s="83"/>
      <c r="BU169" s="83"/>
      <c r="BV169" s="96"/>
      <c r="BW169" s="96"/>
      <c r="BX169" s="96"/>
      <c r="BY169" s="96"/>
      <c r="BZ169" s="83"/>
      <c r="CA169" s="83"/>
      <c r="CB169" s="83"/>
      <c r="CC169" s="83"/>
      <c r="CD169" s="96"/>
      <c r="CE169" s="96"/>
      <c r="CF169" s="96"/>
      <c r="CG169" s="96"/>
      <c r="CH169" s="83"/>
      <c r="CI169" s="83"/>
      <c r="CJ169" s="83"/>
      <c r="CK169" s="83"/>
      <c r="CL169" s="96"/>
      <c r="CM169" s="96"/>
      <c r="CN169" s="96"/>
      <c r="CO169" s="96"/>
      <c r="CP169" s="83"/>
      <c r="CQ169" s="83"/>
      <c r="CR169" s="83"/>
      <c r="CS169" s="83"/>
      <c r="CT169" s="96"/>
      <c r="CU169" s="96"/>
      <c r="CV169" s="96"/>
      <c r="CW169" s="96"/>
      <c r="CX169" s="83"/>
      <c r="CY169" s="83"/>
      <c r="CZ169" s="83"/>
      <c r="DA169" s="83"/>
      <c r="DB169" s="96">
        <v>76073.849545454548</v>
      </c>
      <c r="DC169" s="83">
        <v>142638.46789772721</v>
      </c>
      <c r="DD169" s="96"/>
      <c r="DE169" s="102"/>
    </row>
    <row r="170" spans="1:3331" x14ac:dyDescent="0.2">
      <c r="A170" s="14">
        <v>162</v>
      </c>
      <c r="B170" s="28" t="s">
        <v>256</v>
      </c>
      <c r="C170" s="14" t="s">
        <v>787</v>
      </c>
      <c r="D170" s="28"/>
      <c r="E170" s="28"/>
      <c r="F170" s="83"/>
      <c r="G170" s="83"/>
      <c r="H170" s="83"/>
      <c r="I170" s="83"/>
      <c r="J170" s="96"/>
      <c r="K170" s="96"/>
      <c r="L170" s="96"/>
      <c r="M170" s="96"/>
      <c r="N170" s="83"/>
      <c r="O170" s="83"/>
      <c r="P170" s="83"/>
      <c r="Q170" s="83"/>
      <c r="R170" s="96"/>
      <c r="S170" s="96"/>
      <c r="T170" s="96"/>
      <c r="U170" s="96"/>
      <c r="V170" s="83"/>
      <c r="W170" s="83"/>
      <c r="X170" s="83"/>
      <c r="Y170" s="83"/>
      <c r="Z170" s="96"/>
      <c r="AA170" s="96"/>
      <c r="AB170" s="96"/>
      <c r="AC170" s="96"/>
      <c r="AD170" s="83"/>
      <c r="AE170" s="83"/>
      <c r="AF170" s="83"/>
      <c r="AG170" s="83"/>
      <c r="AH170" s="96"/>
      <c r="AI170" s="96"/>
      <c r="AJ170" s="96"/>
      <c r="AK170" s="96"/>
      <c r="AL170" s="83"/>
      <c r="AM170" s="83"/>
      <c r="AN170" s="83"/>
      <c r="AO170" s="83"/>
      <c r="AP170" s="96"/>
      <c r="AQ170" s="96"/>
      <c r="AR170" s="96"/>
      <c r="AS170" s="96"/>
      <c r="AT170" s="83"/>
      <c r="AU170" s="83"/>
      <c r="AV170" s="83"/>
      <c r="AW170" s="83"/>
      <c r="AX170" s="96"/>
      <c r="AY170" s="96"/>
      <c r="AZ170" s="96"/>
      <c r="BA170" s="96"/>
      <c r="BB170" s="83"/>
      <c r="BC170" s="83"/>
      <c r="BD170" s="83"/>
      <c r="BE170" s="83"/>
      <c r="BF170" s="96"/>
      <c r="BG170" s="96"/>
      <c r="BH170" s="96"/>
      <c r="BI170" s="96"/>
      <c r="BJ170" s="83"/>
      <c r="BK170" s="83"/>
      <c r="BL170" s="83"/>
      <c r="BM170" s="83"/>
      <c r="BN170" s="96"/>
      <c r="BO170" s="96"/>
      <c r="BP170" s="96"/>
      <c r="BQ170" s="96"/>
      <c r="BR170" s="83"/>
      <c r="BS170" s="83"/>
      <c r="BT170" s="83"/>
      <c r="BU170" s="83"/>
      <c r="BV170" s="96"/>
      <c r="BW170" s="96"/>
      <c r="BX170" s="96"/>
      <c r="BY170" s="96"/>
      <c r="BZ170" s="83"/>
      <c r="CA170" s="83"/>
      <c r="CB170" s="83"/>
      <c r="CC170" s="83"/>
      <c r="CD170" s="96"/>
      <c r="CE170" s="96"/>
      <c r="CF170" s="96"/>
      <c r="CG170" s="96"/>
      <c r="CH170" s="83"/>
      <c r="CI170" s="83"/>
      <c r="CJ170" s="83"/>
      <c r="CK170" s="83"/>
      <c r="CL170" s="96"/>
      <c r="CM170" s="96"/>
      <c r="CN170" s="96"/>
      <c r="CO170" s="96"/>
      <c r="CP170" s="83"/>
      <c r="CQ170" s="83"/>
      <c r="CR170" s="83"/>
      <c r="CS170" s="83"/>
      <c r="CT170" s="96"/>
      <c r="CU170" s="96"/>
      <c r="CV170" s="96"/>
      <c r="CW170" s="96"/>
      <c r="CX170" s="83"/>
      <c r="CY170" s="83"/>
      <c r="CZ170" s="83"/>
      <c r="DA170" s="83"/>
      <c r="DB170" s="96"/>
      <c r="DC170" s="83"/>
      <c r="DD170" s="96"/>
      <c r="DE170" s="102"/>
    </row>
    <row r="171" spans="1:3331" x14ac:dyDescent="0.2">
      <c r="A171" s="14">
        <v>163</v>
      </c>
      <c r="B171" s="28" t="s">
        <v>864</v>
      </c>
      <c r="C171" s="14" t="s">
        <v>788</v>
      </c>
      <c r="D171" s="28"/>
      <c r="E171" s="28"/>
      <c r="F171" s="83" t="s">
        <v>963</v>
      </c>
      <c r="G171" s="83" t="s">
        <v>662</v>
      </c>
      <c r="H171" s="83">
        <v>0.64000000000000012</v>
      </c>
      <c r="I171" s="83">
        <v>48687.263709090919</v>
      </c>
      <c r="J171" s="96" t="s">
        <v>962</v>
      </c>
      <c r="K171" s="96" t="s">
        <v>662</v>
      </c>
      <c r="L171" s="96">
        <v>0.63375000000000004</v>
      </c>
      <c r="M171" s="96">
        <v>48211.802149431795</v>
      </c>
      <c r="N171" s="83" t="s">
        <v>965</v>
      </c>
      <c r="O171" s="83" t="s">
        <v>662</v>
      </c>
      <c r="P171" s="83">
        <v>0.625</v>
      </c>
      <c r="Q171" s="83">
        <v>47546.155965909064</v>
      </c>
      <c r="R171" s="96" t="s">
        <v>956</v>
      </c>
      <c r="S171" s="96" t="s">
        <v>662</v>
      </c>
      <c r="T171" s="96">
        <v>0.76250000000000018</v>
      </c>
      <c r="U171" s="96">
        <v>58006.310278409073</v>
      </c>
      <c r="V171" s="83" t="s">
        <v>958</v>
      </c>
      <c r="W171" s="83" t="s">
        <v>662</v>
      </c>
      <c r="X171" s="83">
        <v>0.63499999999999979</v>
      </c>
      <c r="Y171" s="83">
        <v>48306.894461363598</v>
      </c>
      <c r="Z171" s="96" t="s">
        <v>941</v>
      </c>
      <c r="AA171" s="96" t="s">
        <v>657</v>
      </c>
      <c r="AB171" s="96">
        <v>1.63625</v>
      </c>
      <c r="AC171" s="96">
        <v>124475.83631874993</v>
      </c>
      <c r="AD171" s="83" t="s">
        <v>946</v>
      </c>
      <c r="AE171" s="83" t="s">
        <v>662</v>
      </c>
      <c r="AF171" s="83">
        <v>0.75625000000000009</v>
      </c>
      <c r="AG171" s="83">
        <v>57530.848718750007</v>
      </c>
      <c r="AH171" s="96"/>
      <c r="AI171" s="96"/>
      <c r="AJ171" s="96"/>
      <c r="AK171" s="96"/>
      <c r="AL171" s="83"/>
      <c r="AM171" s="83"/>
      <c r="AN171" s="83"/>
      <c r="AO171" s="83"/>
      <c r="AP171" s="96"/>
      <c r="AQ171" s="96"/>
      <c r="AR171" s="96"/>
      <c r="AS171" s="96"/>
      <c r="AT171" s="83"/>
      <c r="AU171" s="83"/>
      <c r="AV171" s="83"/>
      <c r="AW171" s="83"/>
      <c r="AX171" s="96"/>
      <c r="AY171" s="96"/>
      <c r="AZ171" s="96"/>
      <c r="BA171" s="96"/>
      <c r="BB171" s="83"/>
      <c r="BC171" s="83"/>
      <c r="BD171" s="83"/>
      <c r="BE171" s="83"/>
      <c r="BF171" s="96"/>
      <c r="BG171" s="96"/>
      <c r="BH171" s="96"/>
      <c r="BI171" s="96"/>
      <c r="BJ171" s="83"/>
      <c r="BK171" s="83"/>
      <c r="BL171" s="83"/>
      <c r="BM171" s="83"/>
      <c r="BN171" s="96"/>
      <c r="BO171" s="96"/>
      <c r="BP171" s="96"/>
      <c r="BQ171" s="96"/>
      <c r="BR171" s="83"/>
      <c r="BS171" s="83"/>
      <c r="BT171" s="83"/>
      <c r="BU171" s="83"/>
      <c r="BV171" s="96"/>
      <c r="BW171" s="96"/>
      <c r="BX171" s="96"/>
      <c r="BY171" s="96"/>
      <c r="BZ171" s="83"/>
      <c r="CA171" s="83"/>
      <c r="CB171" s="83"/>
      <c r="CC171" s="83"/>
      <c r="CD171" s="96"/>
      <c r="CE171" s="96"/>
      <c r="CF171" s="96"/>
      <c r="CG171" s="96"/>
      <c r="CH171" s="83"/>
      <c r="CI171" s="83"/>
      <c r="CJ171" s="83"/>
      <c r="CK171" s="83"/>
      <c r="CL171" s="96"/>
      <c r="CM171" s="96"/>
      <c r="CN171" s="96"/>
      <c r="CO171" s="96"/>
      <c r="CP171" s="83"/>
      <c r="CQ171" s="83"/>
      <c r="CR171" s="83"/>
      <c r="CS171" s="83"/>
      <c r="CT171" s="96"/>
      <c r="CU171" s="96"/>
      <c r="CV171" s="96"/>
      <c r="CW171" s="96"/>
      <c r="CX171" s="83"/>
      <c r="CY171" s="83"/>
      <c r="CZ171" s="83"/>
      <c r="DA171" s="83"/>
      <c r="DB171" s="96">
        <v>76073.849545454548</v>
      </c>
      <c r="DC171" s="83">
        <v>432765.11160170438</v>
      </c>
      <c r="DD171" s="96"/>
      <c r="DE171" s="102"/>
    </row>
    <row r="172" spans="1:3331" x14ac:dyDescent="0.2">
      <c r="A172" s="14">
        <v>164</v>
      </c>
      <c r="B172" s="28" t="s">
        <v>263</v>
      </c>
      <c r="C172" s="14" t="s">
        <v>789</v>
      </c>
      <c r="D172" s="28"/>
      <c r="E172" s="28"/>
      <c r="F172" s="83" t="s">
        <v>939</v>
      </c>
      <c r="G172" s="83" t="s">
        <v>959</v>
      </c>
      <c r="H172" s="83">
        <v>1</v>
      </c>
      <c r="I172" s="83">
        <v>99481.188181818186</v>
      </c>
      <c r="J172" s="96" t="s">
        <v>941</v>
      </c>
      <c r="K172" s="96" t="s">
        <v>658</v>
      </c>
      <c r="L172" s="96">
        <v>0.5</v>
      </c>
      <c r="M172" s="96">
        <v>49740.594090909093</v>
      </c>
      <c r="N172" s="83"/>
      <c r="O172" s="83"/>
      <c r="P172" s="83"/>
      <c r="Q172" s="83"/>
      <c r="R172" s="96"/>
      <c r="S172" s="96"/>
      <c r="T172" s="96"/>
      <c r="U172" s="96"/>
      <c r="V172" s="83"/>
      <c r="W172" s="83"/>
      <c r="X172" s="83"/>
      <c r="Y172" s="83"/>
      <c r="Z172" s="96"/>
      <c r="AA172" s="96"/>
      <c r="AB172" s="96"/>
      <c r="AC172" s="96"/>
      <c r="AD172" s="83"/>
      <c r="AE172" s="83"/>
      <c r="AF172" s="83"/>
      <c r="AG172" s="83"/>
      <c r="AH172" s="96"/>
      <c r="AI172" s="96"/>
      <c r="AJ172" s="96"/>
      <c r="AK172" s="96"/>
      <c r="AL172" s="83"/>
      <c r="AM172" s="83"/>
      <c r="AN172" s="83"/>
      <c r="AO172" s="83"/>
      <c r="AP172" s="96"/>
      <c r="AQ172" s="96"/>
      <c r="AR172" s="96"/>
      <c r="AS172" s="96"/>
      <c r="AT172" s="83"/>
      <c r="AU172" s="83"/>
      <c r="AV172" s="83"/>
      <c r="AW172" s="83"/>
      <c r="AX172" s="96"/>
      <c r="AY172" s="96"/>
      <c r="AZ172" s="96"/>
      <c r="BA172" s="96"/>
      <c r="BB172" s="83"/>
      <c r="BC172" s="83"/>
      <c r="BD172" s="83"/>
      <c r="BE172" s="83"/>
      <c r="BF172" s="96"/>
      <c r="BG172" s="96"/>
      <c r="BH172" s="96"/>
      <c r="BI172" s="96"/>
      <c r="BJ172" s="83"/>
      <c r="BK172" s="83"/>
      <c r="BL172" s="83"/>
      <c r="BM172" s="83"/>
      <c r="BN172" s="96"/>
      <c r="BO172" s="96"/>
      <c r="BP172" s="96"/>
      <c r="BQ172" s="96"/>
      <c r="BR172" s="83"/>
      <c r="BS172" s="83"/>
      <c r="BT172" s="83"/>
      <c r="BU172" s="83"/>
      <c r="BV172" s="96"/>
      <c r="BW172" s="96"/>
      <c r="BX172" s="96"/>
      <c r="BY172" s="96"/>
      <c r="BZ172" s="83"/>
      <c r="CA172" s="83"/>
      <c r="CB172" s="83"/>
      <c r="CC172" s="83"/>
      <c r="CD172" s="96"/>
      <c r="CE172" s="96"/>
      <c r="CF172" s="96"/>
      <c r="CG172" s="96"/>
      <c r="CH172" s="83"/>
      <c r="CI172" s="83"/>
      <c r="CJ172" s="83"/>
      <c r="CK172" s="83"/>
      <c r="CL172" s="96"/>
      <c r="CM172" s="96"/>
      <c r="CN172" s="96"/>
      <c r="CO172" s="96"/>
      <c r="CP172" s="83"/>
      <c r="CQ172" s="83"/>
      <c r="CR172" s="83"/>
      <c r="CS172" s="83"/>
      <c r="CT172" s="96"/>
      <c r="CU172" s="96"/>
      <c r="CV172" s="96"/>
      <c r="CW172" s="96"/>
      <c r="CX172" s="83"/>
      <c r="CY172" s="83"/>
      <c r="CZ172" s="83"/>
      <c r="DA172" s="83"/>
      <c r="DB172" s="96">
        <v>99481.188181818186</v>
      </c>
      <c r="DC172" s="83">
        <v>149221.78227272729</v>
      </c>
      <c r="DD172" s="96"/>
      <c r="DE172" s="102"/>
    </row>
    <row r="173" spans="1:3331" x14ac:dyDescent="0.2">
      <c r="A173" s="14">
        <v>165</v>
      </c>
      <c r="B173" s="28" t="s">
        <v>313</v>
      </c>
      <c r="C173" s="14" t="s">
        <v>790</v>
      </c>
      <c r="D173" s="28"/>
      <c r="E173" s="28"/>
      <c r="F173" s="83" t="s">
        <v>938</v>
      </c>
      <c r="G173" s="83" t="s">
        <v>658</v>
      </c>
      <c r="H173" s="83">
        <v>0.875</v>
      </c>
      <c r="I173" s="83">
        <v>87046.039659090908</v>
      </c>
      <c r="J173" s="96" t="s">
        <v>963</v>
      </c>
      <c r="K173" s="96" t="s">
        <v>659</v>
      </c>
      <c r="L173" s="96">
        <v>1</v>
      </c>
      <c r="M173" s="96">
        <v>99481.188181818201</v>
      </c>
      <c r="N173" s="83"/>
      <c r="O173" s="83"/>
      <c r="P173" s="83"/>
      <c r="Q173" s="83"/>
      <c r="R173" s="96"/>
      <c r="S173" s="96"/>
      <c r="T173" s="96"/>
      <c r="U173" s="96"/>
      <c r="V173" s="83"/>
      <c r="W173" s="83"/>
      <c r="X173" s="83"/>
      <c r="Y173" s="83"/>
      <c r="Z173" s="96"/>
      <c r="AA173" s="96"/>
      <c r="AB173" s="96"/>
      <c r="AC173" s="96"/>
      <c r="AD173" s="83"/>
      <c r="AE173" s="83"/>
      <c r="AF173" s="83"/>
      <c r="AG173" s="83"/>
      <c r="AH173" s="96"/>
      <c r="AI173" s="96"/>
      <c r="AJ173" s="96"/>
      <c r="AK173" s="96"/>
      <c r="AL173" s="83"/>
      <c r="AM173" s="83"/>
      <c r="AN173" s="83"/>
      <c r="AO173" s="83"/>
      <c r="AP173" s="96"/>
      <c r="AQ173" s="96"/>
      <c r="AR173" s="96"/>
      <c r="AS173" s="96"/>
      <c r="AT173" s="83"/>
      <c r="AU173" s="83"/>
      <c r="AV173" s="83"/>
      <c r="AW173" s="83"/>
      <c r="AX173" s="96"/>
      <c r="AY173" s="96"/>
      <c r="AZ173" s="96"/>
      <c r="BA173" s="96"/>
      <c r="BB173" s="83"/>
      <c r="BC173" s="83"/>
      <c r="BD173" s="83"/>
      <c r="BE173" s="83"/>
      <c r="BF173" s="96"/>
      <c r="BG173" s="96"/>
      <c r="BH173" s="96"/>
      <c r="BI173" s="96"/>
      <c r="BJ173" s="83"/>
      <c r="BK173" s="83"/>
      <c r="BL173" s="83"/>
      <c r="BM173" s="83"/>
      <c r="BN173" s="96"/>
      <c r="BO173" s="96"/>
      <c r="BP173" s="96"/>
      <c r="BQ173" s="96"/>
      <c r="BR173" s="83"/>
      <c r="BS173" s="83"/>
      <c r="BT173" s="83"/>
      <c r="BU173" s="83"/>
      <c r="BV173" s="96"/>
      <c r="BW173" s="96"/>
      <c r="BX173" s="96"/>
      <c r="BY173" s="96"/>
      <c r="BZ173" s="83"/>
      <c r="CA173" s="83"/>
      <c r="CB173" s="83"/>
      <c r="CC173" s="83"/>
      <c r="CD173" s="96"/>
      <c r="CE173" s="96"/>
      <c r="CF173" s="96"/>
      <c r="CG173" s="96"/>
      <c r="CH173" s="83"/>
      <c r="CI173" s="83"/>
      <c r="CJ173" s="83"/>
      <c r="CK173" s="83"/>
      <c r="CL173" s="96"/>
      <c r="CM173" s="96"/>
      <c r="CN173" s="96"/>
      <c r="CO173" s="96"/>
      <c r="CP173" s="83"/>
      <c r="CQ173" s="83"/>
      <c r="CR173" s="83"/>
      <c r="CS173" s="83"/>
      <c r="CT173" s="96"/>
      <c r="CU173" s="96"/>
      <c r="CV173" s="96"/>
      <c r="CW173" s="96"/>
      <c r="CX173" s="83"/>
      <c r="CY173" s="83"/>
      <c r="CZ173" s="83"/>
      <c r="DA173" s="83"/>
      <c r="DB173" s="96">
        <v>99481.188181818186</v>
      </c>
      <c r="DC173" s="83">
        <v>186527.22784090909</v>
      </c>
      <c r="DD173" s="96"/>
      <c r="DE173" s="102"/>
    </row>
    <row r="174" spans="1:3331" x14ac:dyDescent="0.2">
      <c r="A174" s="14">
        <v>166</v>
      </c>
      <c r="B174" s="28" t="s">
        <v>865</v>
      </c>
      <c r="C174" s="14" t="s">
        <v>791</v>
      </c>
      <c r="D174" s="28"/>
      <c r="E174" s="28"/>
      <c r="F174" s="83"/>
      <c r="G174" s="83"/>
      <c r="H174" s="83"/>
      <c r="I174" s="83"/>
      <c r="J174" s="96"/>
      <c r="K174" s="96"/>
      <c r="L174" s="96"/>
      <c r="M174" s="96"/>
      <c r="N174" s="83"/>
      <c r="O174" s="83"/>
      <c r="P174" s="83"/>
      <c r="Q174" s="83"/>
      <c r="R174" s="96"/>
      <c r="S174" s="96"/>
      <c r="T174" s="96"/>
      <c r="U174" s="96"/>
      <c r="V174" s="83"/>
      <c r="W174" s="83"/>
      <c r="X174" s="83"/>
      <c r="Y174" s="83"/>
      <c r="Z174" s="96"/>
      <c r="AA174" s="96"/>
      <c r="AB174" s="96"/>
      <c r="AC174" s="96"/>
      <c r="AD174" s="83"/>
      <c r="AE174" s="83"/>
      <c r="AF174" s="83"/>
      <c r="AG174" s="83"/>
      <c r="AH174" s="96"/>
      <c r="AI174" s="96"/>
      <c r="AJ174" s="96"/>
      <c r="AK174" s="96"/>
      <c r="AL174" s="83"/>
      <c r="AM174" s="83"/>
      <c r="AN174" s="83"/>
      <c r="AO174" s="83"/>
      <c r="AP174" s="96"/>
      <c r="AQ174" s="96"/>
      <c r="AR174" s="96"/>
      <c r="AS174" s="96"/>
      <c r="AT174" s="83"/>
      <c r="AU174" s="83"/>
      <c r="AV174" s="83"/>
      <c r="AW174" s="83"/>
      <c r="AX174" s="96"/>
      <c r="AY174" s="96"/>
      <c r="AZ174" s="96"/>
      <c r="BA174" s="96"/>
      <c r="BB174" s="83"/>
      <c r="BC174" s="83"/>
      <c r="BD174" s="83"/>
      <c r="BE174" s="83"/>
      <c r="BF174" s="96"/>
      <c r="BG174" s="96"/>
      <c r="BH174" s="96"/>
      <c r="BI174" s="96"/>
      <c r="BJ174" s="83"/>
      <c r="BK174" s="83"/>
      <c r="BL174" s="83"/>
      <c r="BM174" s="83"/>
      <c r="BN174" s="96"/>
      <c r="BO174" s="96"/>
      <c r="BP174" s="96"/>
      <c r="BQ174" s="96"/>
      <c r="BR174" s="83"/>
      <c r="BS174" s="83"/>
      <c r="BT174" s="83"/>
      <c r="BU174" s="83"/>
      <c r="BV174" s="96"/>
      <c r="BW174" s="96"/>
      <c r="BX174" s="96"/>
      <c r="BY174" s="96"/>
      <c r="BZ174" s="83"/>
      <c r="CA174" s="83"/>
      <c r="CB174" s="83"/>
      <c r="CC174" s="83"/>
      <c r="CD174" s="96"/>
      <c r="CE174" s="96"/>
      <c r="CF174" s="96"/>
      <c r="CG174" s="96"/>
      <c r="CH174" s="83"/>
      <c r="CI174" s="83"/>
      <c r="CJ174" s="83"/>
      <c r="CK174" s="83"/>
      <c r="CL174" s="96"/>
      <c r="CM174" s="96"/>
      <c r="CN174" s="96"/>
      <c r="CO174" s="96"/>
      <c r="CP174" s="83"/>
      <c r="CQ174" s="83"/>
      <c r="CR174" s="83"/>
      <c r="CS174" s="83"/>
      <c r="CT174" s="96"/>
      <c r="CU174" s="96"/>
      <c r="CV174" s="96"/>
      <c r="CW174" s="96"/>
      <c r="CX174" s="83"/>
      <c r="CY174" s="83"/>
      <c r="CZ174" s="83"/>
      <c r="DA174" s="83"/>
      <c r="DB174" s="96"/>
      <c r="DC174" s="83"/>
      <c r="DD174" s="96"/>
      <c r="DE174" s="102"/>
    </row>
    <row r="175" spans="1:3331" x14ac:dyDescent="0.2">
      <c r="A175" s="14">
        <v>167</v>
      </c>
      <c r="B175" s="28" t="s">
        <v>268</v>
      </c>
      <c r="C175" s="14" t="s">
        <v>792</v>
      </c>
      <c r="D175" s="28"/>
      <c r="E175" s="28"/>
      <c r="F175" s="83" t="s">
        <v>963</v>
      </c>
      <c r="G175" s="83" t="s">
        <v>662</v>
      </c>
      <c r="H175" s="83">
        <v>0.63874999999999993</v>
      </c>
      <c r="I175" s="83">
        <v>52330.030713068183</v>
      </c>
      <c r="J175" s="96" t="s">
        <v>947</v>
      </c>
      <c r="K175" s="96" t="s">
        <v>662</v>
      </c>
      <c r="L175" s="96">
        <v>0.26750000000000007</v>
      </c>
      <c r="M175" s="96">
        <v>21915.120494318191</v>
      </c>
      <c r="N175" s="83" t="s">
        <v>944</v>
      </c>
      <c r="O175" s="83" t="s">
        <v>662</v>
      </c>
      <c r="P175" s="83">
        <v>0.52249999999999996</v>
      </c>
      <c r="Q175" s="83">
        <v>42806.169937500003</v>
      </c>
      <c r="R175" s="96" t="s">
        <v>948</v>
      </c>
      <c r="S175" s="96" t="s">
        <v>662</v>
      </c>
      <c r="T175" s="96">
        <v>0.1862499999999998</v>
      </c>
      <c r="U175" s="96">
        <v>15258.658661931804</v>
      </c>
      <c r="V175" s="83" t="s">
        <v>962</v>
      </c>
      <c r="W175" s="83" t="s">
        <v>662</v>
      </c>
      <c r="X175" s="83">
        <v>0.26124999999999998</v>
      </c>
      <c r="Y175" s="83">
        <v>21403.084968750001</v>
      </c>
      <c r="Z175" s="96" t="s">
        <v>961</v>
      </c>
      <c r="AA175" s="96" t="s">
        <v>662</v>
      </c>
      <c r="AB175" s="96">
        <v>0.29124999999999979</v>
      </c>
      <c r="AC175" s="96">
        <v>23860.855491477258</v>
      </c>
      <c r="AD175" s="83" t="s">
        <v>952</v>
      </c>
      <c r="AE175" s="83" t="s">
        <v>662</v>
      </c>
      <c r="AF175" s="83">
        <v>0.42625000000000002</v>
      </c>
      <c r="AG175" s="83">
        <v>34920.822843750007</v>
      </c>
      <c r="AH175" s="96" t="s">
        <v>965</v>
      </c>
      <c r="AI175" s="96" t="s">
        <v>662</v>
      </c>
      <c r="AJ175" s="96">
        <v>0.44874999999999998</v>
      </c>
      <c r="AK175" s="96">
        <v>36764.150735795454</v>
      </c>
      <c r="AL175" s="83" t="s">
        <v>956</v>
      </c>
      <c r="AM175" s="83" t="s">
        <v>662</v>
      </c>
      <c r="AN175" s="83">
        <v>0.375</v>
      </c>
      <c r="AO175" s="83">
        <v>30722.131534090913</v>
      </c>
      <c r="AP175" s="96" t="s">
        <v>958</v>
      </c>
      <c r="AQ175" s="96" t="s">
        <v>662</v>
      </c>
      <c r="AR175" s="96">
        <v>0.15249999999999986</v>
      </c>
      <c r="AS175" s="96">
        <v>12493.666823863625</v>
      </c>
      <c r="AT175" s="83"/>
      <c r="AU175" s="83"/>
      <c r="AV175" s="83"/>
      <c r="AW175" s="83"/>
      <c r="AX175" s="96"/>
      <c r="AY175" s="96"/>
      <c r="AZ175" s="96"/>
      <c r="BA175" s="96"/>
      <c r="BB175" s="83"/>
      <c r="BC175" s="83"/>
      <c r="BD175" s="83"/>
      <c r="BE175" s="83"/>
      <c r="BF175" s="96"/>
      <c r="BG175" s="96"/>
      <c r="BH175" s="96"/>
      <c r="BI175" s="96"/>
      <c r="BJ175" s="83"/>
      <c r="BK175" s="83"/>
      <c r="BL175" s="83"/>
      <c r="BM175" s="83"/>
      <c r="BN175" s="96"/>
      <c r="BO175" s="96"/>
      <c r="BP175" s="96"/>
      <c r="BQ175" s="96"/>
      <c r="BR175" s="83"/>
      <c r="BS175" s="83"/>
      <c r="BT175" s="83"/>
      <c r="BU175" s="83"/>
      <c r="BV175" s="96"/>
      <c r="BW175" s="96"/>
      <c r="BX175" s="96"/>
      <c r="BY175" s="96"/>
      <c r="BZ175" s="83"/>
      <c r="CA175" s="83"/>
      <c r="CB175" s="83"/>
      <c r="CC175" s="83"/>
      <c r="CD175" s="96"/>
      <c r="CE175" s="96"/>
      <c r="CF175" s="96"/>
      <c r="CG175" s="96"/>
      <c r="CH175" s="83"/>
      <c r="CI175" s="83"/>
      <c r="CJ175" s="83"/>
      <c r="CK175" s="83"/>
      <c r="CL175" s="96"/>
      <c r="CM175" s="96"/>
      <c r="CN175" s="96"/>
      <c r="CO175" s="96"/>
      <c r="CP175" s="83"/>
      <c r="CQ175" s="83"/>
      <c r="CR175" s="83"/>
      <c r="CS175" s="83"/>
      <c r="CT175" s="96"/>
      <c r="CU175" s="96"/>
      <c r="CV175" s="96"/>
      <c r="CW175" s="96"/>
      <c r="CX175" s="83"/>
      <c r="CY175" s="83"/>
      <c r="CZ175" s="83"/>
      <c r="DA175" s="83"/>
      <c r="DB175" s="96">
        <v>81925.684090909097</v>
      </c>
      <c r="DC175" s="83">
        <v>292474.69220454548</v>
      </c>
      <c r="DD175" s="96"/>
      <c r="DE175" s="102"/>
    </row>
    <row r="176" spans="1:3331" x14ac:dyDescent="0.2">
      <c r="A176" s="14">
        <v>168</v>
      </c>
      <c r="B176" s="28" t="s">
        <v>270</v>
      </c>
      <c r="C176" s="14" t="s">
        <v>793</v>
      </c>
      <c r="D176" s="28"/>
      <c r="E176" s="28"/>
      <c r="F176" s="83" t="s">
        <v>967</v>
      </c>
      <c r="G176" s="83" t="s">
        <v>662</v>
      </c>
      <c r="H176" s="83">
        <v>3.9162500000000007</v>
      </c>
      <c r="I176" s="83">
        <v>297924.21328238642</v>
      </c>
      <c r="J176" s="96" t="s">
        <v>968</v>
      </c>
      <c r="K176" s="96" t="s">
        <v>969</v>
      </c>
      <c r="L176" s="96">
        <v>1</v>
      </c>
      <c r="M176" s="96">
        <v>67881.272727272721</v>
      </c>
      <c r="N176" s="83"/>
      <c r="O176" s="83"/>
      <c r="P176" s="83"/>
      <c r="Q176" s="83"/>
      <c r="R176" s="96"/>
      <c r="S176" s="96"/>
      <c r="T176" s="96"/>
      <c r="U176" s="96"/>
      <c r="V176" s="83"/>
      <c r="W176" s="83"/>
      <c r="X176" s="83"/>
      <c r="Y176" s="83"/>
      <c r="Z176" s="96"/>
      <c r="AA176" s="96"/>
      <c r="AB176" s="96"/>
      <c r="AC176" s="96"/>
      <c r="AD176" s="83"/>
      <c r="AE176" s="83"/>
      <c r="AF176" s="83"/>
      <c r="AG176" s="83"/>
      <c r="AH176" s="96"/>
      <c r="AI176" s="96"/>
      <c r="AJ176" s="96"/>
      <c r="AK176" s="96"/>
      <c r="AL176" s="83"/>
      <c r="AM176" s="83"/>
      <c r="AN176" s="83"/>
      <c r="AO176" s="83"/>
      <c r="AP176" s="96"/>
      <c r="AQ176" s="96"/>
      <c r="AR176" s="96"/>
      <c r="AS176" s="96"/>
      <c r="AT176" s="83"/>
      <c r="AU176" s="83"/>
      <c r="AV176" s="83"/>
      <c r="AW176" s="83"/>
      <c r="AX176" s="96"/>
      <c r="AY176" s="96"/>
      <c r="AZ176" s="96"/>
      <c r="BA176" s="96"/>
      <c r="BB176" s="83"/>
      <c r="BC176" s="83"/>
      <c r="BD176" s="83"/>
      <c r="BE176" s="83"/>
      <c r="BF176" s="96"/>
      <c r="BG176" s="96"/>
      <c r="BH176" s="96"/>
      <c r="BI176" s="96"/>
      <c r="BJ176" s="83"/>
      <c r="BK176" s="83"/>
      <c r="BL176" s="83"/>
      <c r="BM176" s="83"/>
      <c r="BN176" s="96"/>
      <c r="BO176" s="96"/>
      <c r="BP176" s="96"/>
      <c r="BQ176" s="96"/>
      <c r="BR176" s="83"/>
      <c r="BS176" s="83"/>
      <c r="BT176" s="83"/>
      <c r="BU176" s="83"/>
      <c r="BV176" s="96"/>
      <c r="BW176" s="96"/>
      <c r="BX176" s="96"/>
      <c r="BY176" s="96"/>
      <c r="BZ176" s="83"/>
      <c r="CA176" s="83"/>
      <c r="CB176" s="83"/>
      <c r="CC176" s="83"/>
      <c r="CD176" s="96"/>
      <c r="CE176" s="96"/>
      <c r="CF176" s="96"/>
      <c r="CG176" s="96"/>
      <c r="CH176" s="83"/>
      <c r="CI176" s="83"/>
      <c r="CJ176" s="83"/>
      <c r="CK176" s="83"/>
      <c r="CL176" s="96"/>
      <c r="CM176" s="96"/>
      <c r="CN176" s="96"/>
      <c r="CO176" s="96"/>
      <c r="CP176" s="83"/>
      <c r="CQ176" s="83"/>
      <c r="CR176" s="83"/>
      <c r="CS176" s="83"/>
      <c r="CT176" s="96"/>
      <c r="CU176" s="96"/>
      <c r="CV176" s="96"/>
      <c r="CW176" s="96"/>
      <c r="CX176" s="83"/>
      <c r="CY176" s="83"/>
      <c r="CZ176" s="83"/>
      <c r="DA176" s="83"/>
      <c r="DB176" s="96">
        <v>76073.849545454548</v>
      </c>
      <c r="DC176" s="83">
        <v>365805.48600965913</v>
      </c>
      <c r="DD176" s="96"/>
      <c r="DE176" s="102"/>
    </row>
    <row r="177" spans="1:109" x14ac:dyDescent="0.2">
      <c r="A177" s="14">
        <v>169</v>
      </c>
      <c r="B177" s="28" t="s">
        <v>272</v>
      </c>
      <c r="C177" s="14" t="s">
        <v>794</v>
      </c>
      <c r="D177" s="28"/>
      <c r="E177" s="28"/>
      <c r="F177" s="83" t="s">
        <v>949</v>
      </c>
      <c r="G177" s="83" t="s">
        <v>657</v>
      </c>
      <c r="H177" s="83">
        <v>1.0575000000000001</v>
      </c>
      <c r="I177" s="83">
        <v>71784.445909090908</v>
      </c>
      <c r="J177" s="96" t="s">
        <v>953</v>
      </c>
      <c r="K177" s="96" t="s">
        <v>657</v>
      </c>
      <c r="L177" s="96">
        <v>1.585</v>
      </c>
      <c r="M177" s="96">
        <v>107591.81727272723</v>
      </c>
      <c r="N177" s="83"/>
      <c r="O177" s="83"/>
      <c r="P177" s="83"/>
      <c r="Q177" s="83"/>
      <c r="R177" s="96"/>
      <c r="S177" s="96"/>
      <c r="T177" s="96"/>
      <c r="U177" s="96"/>
      <c r="V177" s="83"/>
      <c r="W177" s="83"/>
      <c r="X177" s="83"/>
      <c r="Y177" s="83"/>
      <c r="Z177" s="96"/>
      <c r="AA177" s="96"/>
      <c r="AB177" s="96"/>
      <c r="AC177" s="96"/>
      <c r="AD177" s="83"/>
      <c r="AE177" s="83"/>
      <c r="AF177" s="83"/>
      <c r="AG177" s="83"/>
      <c r="AH177" s="96"/>
      <c r="AI177" s="96"/>
      <c r="AJ177" s="96"/>
      <c r="AK177" s="96"/>
      <c r="AL177" s="83"/>
      <c r="AM177" s="83"/>
      <c r="AN177" s="83"/>
      <c r="AO177" s="83"/>
      <c r="AP177" s="96"/>
      <c r="AQ177" s="96"/>
      <c r="AR177" s="96"/>
      <c r="AS177" s="96"/>
      <c r="AT177" s="83"/>
      <c r="AU177" s="83"/>
      <c r="AV177" s="83"/>
      <c r="AW177" s="83"/>
      <c r="AX177" s="96"/>
      <c r="AY177" s="96"/>
      <c r="AZ177" s="96"/>
      <c r="BA177" s="96"/>
      <c r="BB177" s="83"/>
      <c r="BC177" s="83"/>
      <c r="BD177" s="83"/>
      <c r="BE177" s="83"/>
      <c r="BF177" s="96"/>
      <c r="BG177" s="96"/>
      <c r="BH177" s="96"/>
      <c r="BI177" s="96"/>
      <c r="BJ177" s="83"/>
      <c r="BK177" s="83"/>
      <c r="BL177" s="83"/>
      <c r="BM177" s="83"/>
      <c r="BN177" s="96"/>
      <c r="BO177" s="96"/>
      <c r="BP177" s="96"/>
      <c r="BQ177" s="96"/>
      <c r="BR177" s="83"/>
      <c r="BS177" s="83"/>
      <c r="BT177" s="83"/>
      <c r="BU177" s="83"/>
      <c r="BV177" s="96"/>
      <c r="BW177" s="96"/>
      <c r="BX177" s="96"/>
      <c r="BY177" s="96"/>
      <c r="BZ177" s="83"/>
      <c r="CA177" s="83"/>
      <c r="CB177" s="83"/>
      <c r="CC177" s="83"/>
      <c r="CD177" s="96"/>
      <c r="CE177" s="96"/>
      <c r="CF177" s="96"/>
      <c r="CG177" s="96"/>
      <c r="CH177" s="83"/>
      <c r="CI177" s="83"/>
      <c r="CJ177" s="83"/>
      <c r="CK177" s="83"/>
      <c r="CL177" s="96"/>
      <c r="CM177" s="96"/>
      <c r="CN177" s="96"/>
      <c r="CO177" s="96"/>
      <c r="CP177" s="83"/>
      <c r="CQ177" s="83"/>
      <c r="CR177" s="83"/>
      <c r="CS177" s="83"/>
      <c r="CT177" s="96"/>
      <c r="CU177" s="96"/>
      <c r="CV177" s="96"/>
      <c r="CW177" s="96"/>
      <c r="CX177" s="83"/>
      <c r="CY177" s="83"/>
      <c r="CZ177" s="83"/>
      <c r="DA177" s="83"/>
      <c r="DB177" s="96">
        <v>67881.272727272721</v>
      </c>
      <c r="DC177" s="83">
        <v>179376.26318181813</v>
      </c>
      <c r="DD177" s="96"/>
      <c r="DE177" s="102"/>
    </row>
    <row r="178" spans="1:109" x14ac:dyDescent="0.2">
      <c r="A178" s="14">
        <v>170</v>
      </c>
      <c r="B178" s="28" t="s">
        <v>274</v>
      </c>
      <c r="C178" s="14" t="s">
        <v>795</v>
      </c>
      <c r="D178" s="28"/>
      <c r="E178" s="28"/>
      <c r="F178" s="83"/>
      <c r="G178" s="83"/>
      <c r="H178" s="83"/>
      <c r="I178" s="83"/>
      <c r="J178" s="96"/>
      <c r="K178" s="96"/>
      <c r="L178" s="96"/>
      <c r="M178" s="96"/>
      <c r="N178" s="83"/>
      <c r="O178" s="83"/>
      <c r="P178" s="83"/>
      <c r="Q178" s="83"/>
      <c r="R178" s="96"/>
      <c r="S178" s="96"/>
      <c r="T178" s="96"/>
      <c r="U178" s="96"/>
      <c r="V178" s="83"/>
      <c r="W178" s="83"/>
      <c r="X178" s="83"/>
      <c r="Y178" s="83"/>
      <c r="Z178" s="96"/>
      <c r="AA178" s="96"/>
      <c r="AB178" s="96"/>
      <c r="AC178" s="96"/>
      <c r="AD178" s="83"/>
      <c r="AE178" s="83"/>
      <c r="AF178" s="83"/>
      <c r="AG178" s="83"/>
      <c r="AH178" s="96"/>
      <c r="AI178" s="96"/>
      <c r="AJ178" s="96"/>
      <c r="AK178" s="96"/>
      <c r="AL178" s="83"/>
      <c r="AM178" s="83"/>
      <c r="AN178" s="83"/>
      <c r="AO178" s="83"/>
      <c r="AP178" s="96"/>
      <c r="AQ178" s="96"/>
      <c r="AR178" s="96"/>
      <c r="AS178" s="96"/>
      <c r="AT178" s="83"/>
      <c r="AU178" s="83"/>
      <c r="AV178" s="83"/>
      <c r="AW178" s="83"/>
      <c r="AX178" s="96"/>
      <c r="AY178" s="96"/>
      <c r="AZ178" s="96"/>
      <c r="BA178" s="96"/>
      <c r="BB178" s="83"/>
      <c r="BC178" s="83"/>
      <c r="BD178" s="83"/>
      <c r="BE178" s="83"/>
      <c r="BF178" s="96"/>
      <c r="BG178" s="96"/>
      <c r="BH178" s="96"/>
      <c r="BI178" s="96"/>
      <c r="BJ178" s="83"/>
      <c r="BK178" s="83"/>
      <c r="BL178" s="83"/>
      <c r="BM178" s="83"/>
      <c r="BN178" s="96"/>
      <c r="BO178" s="96"/>
      <c r="BP178" s="96"/>
      <c r="BQ178" s="96"/>
      <c r="BR178" s="83"/>
      <c r="BS178" s="83"/>
      <c r="BT178" s="83"/>
      <c r="BU178" s="83"/>
      <c r="BV178" s="96"/>
      <c r="BW178" s="96"/>
      <c r="BX178" s="96"/>
      <c r="BY178" s="96"/>
      <c r="BZ178" s="83"/>
      <c r="CA178" s="83"/>
      <c r="CB178" s="83"/>
      <c r="CC178" s="83"/>
      <c r="CD178" s="96"/>
      <c r="CE178" s="96"/>
      <c r="CF178" s="96"/>
      <c r="CG178" s="96"/>
      <c r="CH178" s="83"/>
      <c r="CI178" s="83"/>
      <c r="CJ178" s="83"/>
      <c r="CK178" s="83"/>
      <c r="CL178" s="96"/>
      <c r="CM178" s="96"/>
      <c r="CN178" s="96"/>
      <c r="CO178" s="96"/>
      <c r="CP178" s="83"/>
      <c r="CQ178" s="83"/>
      <c r="CR178" s="83"/>
      <c r="CS178" s="83"/>
      <c r="CT178" s="96"/>
      <c r="CU178" s="96"/>
      <c r="CV178" s="96"/>
      <c r="CW178" s="96"/>
      <c r="CX178" s="83"/>
      <c r="CY178" s="83"/>
      <c r="CZ178" s="83"/>
      <c r="DA178" s="83"/>
      <c r="DB178" s="96"/>
      <c r="DC178" s="83"/>
      <c r="DD178" s="96"/>
      <c r="DE178" s="102"/>
    </row>
    <row r="179" spans="1:109" x14ac:dyDescent="0.2">
      <c r="A179" s="14">
        <v>171</v>
      </c>
      <c r="B179" s="28" t="s">
        <v>276</v>
      </c>
      <c r="C179" s="14" t="s">
        <v>796</v>
      </c>
      <c r="D179" s="28"/>
      <c r="E179" s="28"/>
      <c r="F179" s="83" t="s">
        <v>942</v>
      </c>
      <c r="G179" s="83" t="s">
        <v>662</v>
      </c>
      <c r="H179" s="83">
        <v>0.16500000000000004</v>
      </c>
      <c r="I179" s="83">
        <v>12552.185175000002</v>
      </c>
      <c r="J179" s="96" t="s">
        <v>957</v>
      </c>
      <c r="K179" s="96" t="s">
        <v>662</v>
      </c>
      <c r="L179" s="96">
        <v>0.5637500000000002</v>
      </c>
      <c r="M179" s="96">
        <v>42886.632681250019</v>
      </c>
      <c r="N179" s="83" t="s">
        <v>938</v>
      </c>
      <c r="O179" s="83" t="s">
        <v>657</v>
      </c>
      <c r="P179" s="83">
        <v>1</v>
      </c>
      <c r="Q179" s="83">
        <v>76073.849545454548</v>
      </c>
      <c r="R179" s="96" t="s">
        <v>964</v>
      </c>
      <c r="S179" s="96" t="s">
        <v>662</v>
      </c>
      <c r="T179" s="96">
        <v>0.18999999999999995</v>
      </c>
      <c r="U179" s="96">
        <v>14454.03141363636</v>
      </c>
      <c r="V179" s="83" t="s">
        <v>960</v>
      </c>
      <c r="W179" s="83" t="s">
        <v>662</v>
      </c>
      <c r="X179" s="83">
        <v>0.28125</v>
      </c>
      <c r="Y179" s="83">
        <v>21395.770184659094</v>
      </c>
      <c r="Z179" s="96" t="s">
        <v>940</v>
      </c>
      <c r="AA179" s="96" t="s">
        <v>657</v>
      </c>
      <c r="AB179" s="96">
        <v>1</v>
      </c>
      <c r="AC179" s="96">
        <v>76073.849545454548</v>
      </c>
      <c r="AD179" s="83" t="s">
        <v>961</v>
      </c>
      <c r="AE179" s="83" t="s">
        <v>662</v>
      </c>
      <c r="AF179" s="83">
        <v>0.44749999999999979</v>
      </c>
      <c r="AG179" s="83">
        <v>34043.047671590895</v>
      </c>
      <c r="AH179" s="96" t="s">
        <v>899</v>
      </c>
      <c r="AI179" s="96" t="s">
        <v>657</v>
      </c>
      <c r="AJ179" s="96">
        <v>0.53750000000000009</v>
      </c>
      <c r="AK179" s="96">
        <v>40889.694130681826</v>
      </c>
      <c r="AL179" s="83"/>
      <c r="AM179" s="83"/>
      <c r="AN179" s="83"/>
      <c r="AO179" s="83"/>
      <c r="AP179" s="96"/>
      <c r="AQ179" s="96"/>
      <c r="AR179" s="96"/>
      <c r="AS179" s="96"/>
      <c r="AT179" s="83"/>
      <c r="AU179" s="83"/>
      <c r="AV179" s="83"/>
      <c r="AW179" s="83"/>
      <c r="AX179" s="96"/>
      <c r="AY179" s="96"/>
      <c r="AZ179" s="96"/>
      <c r="BA179" s="96"/>
      <c r="BB179" s="83"/>
      <c r="BC179" s="83"/>
      <c r="BD179" s="83"/>
      <c r="BE179" s="83"/>
      <c r="BF179" s="96"/>
      <c r="BG179" s="96"/>
      <c r="BH179" s="96"/>
      <c r="BI179" s="96"/>
      <c r="BJ179" s="83"/>
      <c r="BK179" s="83"/>
      <c r="BL179" s="83"/>
      <c r="BM179" s="83"/>
      <c r="BN179" s="96"/>
      <c r="BO179" s="96"/>
      <c r="BP179" s="96"/>
      <c r="BQ179" s="96"/>
      <c r="BR179" s="83"/>
      <c r="BS179" s="83"/>
      <c r="BT179" s="83"/>
      <c r="BU179" s="83"/>
      <c r="BV179" s="96"/>
      <c r="BW179" s="96"/>
      <c r="BX179" s="96"/>
      <c r="BY179" s="96"/>
      <c r="BZ179" s="83"/>
      <c r="CA179" s="83"/>
      <c r="CB179" s="83"/>
      <c r="CC179" s="83"/>
      <c r="CD179" s="96"/>
      <c r="CE179" s="96"/>
      <c r="CF179" s="96"/>
      <c r="CG179" s="96"/>
      <c r="CH179" s="83"/>
      <c r="CI179" s="83"/>
      <c r="CJ179" s="83"/>
      <c r="CK179" s="83"/>
      <c r="CL179" s="96"/>
      <c r="CM179" s="96"/>
      <c r="CN179" s="96"/>
      <c r="CO179" s="96"/>
      <c r="CP179" s="83"/>
      <c r="CQ179" s="83"/>
      <c r="CR179" s="83"/>
      <c r="CS179" s="83"/>
      <c r="CT179" s="96"/>
      <c r="CU179" s="96"/>
      <c r="CV179" s="96"/>
      <c r="CW179" s="96"/>
      <c r="CX179" s="83"/>
      <c r="CY179" s="83"/>
      <c r="CZ179" s="83"/>
      <c r="DA179" s="83"/>
      <c r="DB179" s="96">
        <v>76073.849545454548</v>
      </c>
      <c r="DC179" s="83">
        <v>318369.06034772727</v>
      </c>
      <c r="DD179" s="96"/>
      <c r="DE179" s="102"/>
    </row>
    <row r="180" spans="1:109" x14ac:dyDescent="0.2">
      <c r="A180" s="14">
        <v>172</v>
      </c>
      <c r="B180" s="28" t="s">
        <v>280</v>
      </c>
      <c r="C180" s="14" t="s">
        <v>797</v>
      </c>
      <c r="D180" s="28"/>
      <c r="E180" s="28"/>
      <c r="F180" s="83"/>
      <c r="G180" s="83"/>
      <c r="H180" s="83"/>
      <c r="I180" s="83"/>
      <c r="J180" s="96"/>
      <c r="K180" s="96"/>
      <c r="L180" s="96"/>
      <c r="M180" s="96"/>
      <c r="N180" s="83"/>
      <c r="O180" s="83"/>
      <c r="P180" s="83"/>
      <c r="Q180" s="83"/>
      <c r="R180" s="96"/>
      <c r="S180" s="96"/>
      <c r="T180" s="96"/>
      <c r="U180" s="96"/>
      <c r="V180" s="83"/>
      <c r="W180" s="83"/>
      <c r="X180" s="83"/>
      <c r="Y180" s="83"/>
      <c r="Z180" s="96"/>
      <c r="AA180" s="96"/>
      <c r="AB180" s="96"/>
      <c r="AC180" s="96"/>
      <c r="AD180" s="83"/>
      <c r="AE180" s="83"/>
      <c r="AF180" s="83"/>
      <c r="AG180" s="83"/>
      <c r="AH180" s="96"/>
      <c r="AI180" s="96"/>
      <c r="AJ180" s="96"/>
      <c r="AK180" s="96"/>
      <c r="AL180" s="83"/>
      <c r="AM180" s="83"/>
      <c r="AN180" s="83"/>
      <c r="AO180" s="83"/>
      <c r="AP180" s="96"/>
      <c r="AQ180" s="96"/>
      <c r="AR180" s="96"/>
      <c r="AS180" s="96"/>
      <c r="AT180" s="83"/>
      <c r="AU180" s="83"/>
      <c r="AV180" s="83"/>
      <c r="AW180" s="83"/>
      <c r="AX180" s="96"/>
      <c r="AY180" s="96"/>
      <c r="AZ180" s="96"/>
      <c r="BA180" s="96"/>
      <c r="BB180" s="83"/>
      <c r="BC180" s="83"/>
      <c r="BD180" s="83"/>
      <c r="BE180" s="83"/>
      <c r="BF180" s="96"/>
      <c r="BG180" s="96"/>
      <c r="BH180" s="96"/>
      <c r="BI180" s="96"/>
      <c r="BJ180" s="83"/>
      <c r="BK180" s="83"/>
      <c r="BL180" s="83"/>
      <c r="BM180" s="83"/>
      <c r="BN180" s="96"/>
      <c r="BO180" s="96"/>
      <c r="BP180" s="96"/>
      <c r="BQ180" s="96"/>
      <c r="BR180" s="83"/>
      <c r="BS180" s="83"/>
      <c r="BT180" s="83"/>
      <c r="BU180" s="83"/>
      <c r="BV180" s="96"/>
      <c r="BW180" s="96"/>
      <c r="BX180" s="96"/>
      <c r="BY180" s="96"/>
      <c r="BZ180" s="83"/>
      <c r="CA180" s="83"/>
      <c r="CB180" s="83"/>
      <c r="CC180" s="83"/>
      <c r="CD180" s="96"/>
      <c r="CE180" s="96"/>
      <c r="CF180" s="96"/>
      <c r="CG180" s="96"/>
      <c r="CH180" s="83"/>
      <c r="CI180" s="83"/>
      <c r="CJ180" s="83"/>
      <c r="CK180" s="83"/>
      <c r="CL180" s="96"/>
      <c r="CM180" s="96"/>
      <c r="CN180" s="96"/>
      <c r="CO180" s="96"/>
      <c r="CP180" s="83"/>
      <c r="CQ180" s="83"/>
      <c r="CR180" s="83"/>
      <c r="CS180" s="83"/>
      <c r="CT180" s="96"/>
      <c r="CU180" s="96"/>
      <c r="CV180" s="96"/>
      <c r="CW180" s="96"/>
      <c r="CX180" s="83"/>
      <c r="CY180" s="83"/>
      <c r="CZ180" s="83"/>
      <c r="DA180" s="83"/>
      <c r="DB180" s="96"/>
      <c r="DC180" s="83"/>
      <c r="DD180" s="96"/>
      <c r="DE180" s="102"/>
    </row>
    <row r="181" spans="1:109" x14ac:dyDescent="0.2">
      <c r="A181" s="14">
        <v>173</v>
      </c>
      <c r="B181" s="28" t="s">
        <v>283</v>
      </c>
      <c r="C181" s="14" t="s">
        <v>798</v>
      </c>
      <c r="D181" s="28"/>
      <c r="E181" s="28"/>
      <c r="F181" s="83" t="s">
        <v>947</v>
      </c>
      <c r="G181" s="83" t="s">
        <v>659</v>
      </c>
      <c r="H181" s="83">
        <v>1</v>
      </c>
      <c r="I181" s="83">
        <v>93629.353636363638</v>
      </c>
      <c r="J181" s="96"/>
      <c r="K181" s="96"/>
      <c r="L181" s="96"/>
      <c r="M181" s="96"/>
      <c r="N181" s="83"/>
      <c r="O181" s="83"/>
      <c r="P181" s="83"/>
      <c r="Q181" s="83"/>
      <c r="R181" s="96"/>
      <c r="S181" s="96"/>
      <c r="T181" s="96"/>
      <c r="U181" s="96"/>
      <c r="V181" s="83"/>
      <c r="W181" s="83"/>
      <c r="X181" s="83"/>
      <c r="Y181" s="83"/>
      <c r="Z181" s="96"/>
      <c r="AA181" s="96"/>
      <c r="AB181" s="96"/>
      <c r="AC181" s="96"/>
      <c r="AD181" s="83"/>
      <c r="AE181" s="83"/>
      <c r="AF181" s="83"/>
      <c r="AG181" s="83"/>
      <c r="AH181" s="96"/>
      <c r="AI181" s="96"/>
      <c r="AJ181" s="96"/>
      <c r="AK181" s="96"/>
      <c r="AL181" s="83"/>
      <c r="AM181" s="83"/>
      <c r="AN181" s="83"/>
      <c r="AO181" s="83"/>
      <c r="AP181" s="96"/>
      <c r="AQ181" s="96"/>
      <c r="AR181" s="96"/>
      <c r="AS181" s="96"/>
      <c r="AT181" s="83"/>
      <c r="AU181" s="83"/>
      <c r="AV181" s="83"/>
      <c r="AW181" s="83"/>
      <c r="AX181" s="96"/>
      <c r="AY181" s="96"/>
      <c r="AZ181" s="96"/>
      <c r="BA181" s="96"/>
      <c r="BB181" s="83"/>
      <c r="BC181" s="83"/>
      <c r="BD181" s="83"/>
      <c r="BE181" s="83"/>
      <c r="BF181" s="96"/>
      <c r="BG181" s="96"/>
      <c r="BH181" s="96"/>
      <c r="BI181" s="96"/>
      <c r="BJ181" s="83"/>
      <c r="BK181" s="83"/>
      <c r="BL181" s="83"/>
      <c r="BM181" s="83"/>
      <c r="BN181" s="96"/>
      <c r="BO181" s="96"/>
      <c r="BP181" s="96"/>
      <c r="BQ181" s="96"/>
      <c r="BR181" s="83"/>
      <c r="BS181" s="83"/>
      <c r="BT181" s="83"/>
      <c r="BU181" s="83"/>
      <c r="BV181" s="96"/>
      <c r="BW181" s="96"/>
      <c r="BX181" s="96"/>
      <c r="BY181" s="96"/>
      <c r="BZ181" s="83"/>
      <c r="CA181" s="83"/>
      <c r="CB181" s="83"/>
      <c r="CC181" s="83"/>
      <c r="CD181" s="96"/>
      <c r="CE181" s="96"/>
      <c r="CF181" s="96"/>
      <c r="CG181" s="96"/>
      <c r="CH181" s="83"/>
      <c r="CI181" s="83"/>
      <c r="CJ181" s="83"/>
      <c r="CK181" s="83"/>
      <c r="CL181" s="96"/>
      <c r="CM181" s="96"/>
      <c r="CN181" s="96"/>
      <c r="CO181" s="96"/>
      <c r="CP181" s="83"/>
      <c r="CQ181" s="83"/>
      <c r="CR181" s="83"/>
      <c r="CS181" s="83"/>
      <c r="CT181" s="96"/>
      <c r="CU181" s="96"/>
      <c r="CV181" s="96"/>
      <c r="CW181" s="96"/>
      <c r="CX181" s="83"/>
      <c r="CY181" s="83"/>
      <c r="CZ181" s="83"/>
      <c r="DA181" s="83"/>
      <c r="DB181" s="96">
        <v>93629.353636363638</v>
      </c>
      <c r="DC181" s="83">
        <v>93629.353636363638</v>
      </c>
      <c r="DD181" s="96"/>
      <c r="DE181" s="102"/>
    </row>
    <row r="182" spans="1:109" x14ac:dyDescent="0.2">
      <c r="A182" s="14">
        <v>174</v>
      </c>
      <c r="B182" s="28" t="s">
        <v>285</v>
      </c>
      <c r="C182" s="14" t="s">
        <v>799</v>
      </c>
      <c r="D182" s="28"/>
      <c r="E182" s="28"/>
      <c r="F182" s="83" t="s">
        <v>938</v>
      </c>
      <c r="G182" s="83" t="s">
        <v>657</v>
      </c>
      <c r="H182" s="83">
        <v>1</v>
      </c>
      <c r="I182" s="83">
        <v>99481.188181818186</v>
      </c>
      <c r="J182" s="96" t="s">
        <v>951</v>
      </c>
      <c r="K182" s="96" t="s">
        <v>658</v>
      </c>
      <c r="L182" s="96">
        <v>0.875</v>
      </c>
      <c r="M182" s="96">
        <v>87046.039659090908</v>
      </c>
      <c r="N182" s="83"/>
      <c r="O182" s="83"/>
      <c r="P182" s="83"/>
      <c r="Q182" s="83"/>
      <c r="R182" s="96"/>
      <c r="S182" s="96"/>
      <c r="T182" s="96"/>
      <c r="U182" s="96"/>
      <c r="V182" s="83"/>
      <c r="W182" s="83"/>
      <c r="X182" s="83"/>
      <c r="Y182" s="83"/>
      <c r="Z182" s="96"/>
      <c r="AA182" s="96"/>
      <c r="AB182" s="96"/>
      <c r="AC182" s="96"/>
      <c r="AD182" s="83"/>
      <c r="AE182" s="83"/>
      <c r="AF182" s="83"/>
      <c r="AG182" s="83"/>
      <c r="AH182" s="96"/>
      <c r="AI182" s="96"/>
      <c r="AJ182" s="96"/>
      <c r="AK182" s="96"/>
      <c r="AL182" s="83"/>
      <c r="AM182" s="83"/>
      <c r="AN182" s="83"/>
      <c r="AO182" s="83"/>
      <c r="AP182" s="96"/>
      <c r="AQ182" s="96"/>
      <c r="AR182" s="96"/>
      <c r="AS182" s="96"/>
      <c r="AT182" s="83"/>
      <c r="AU182" s="83"/>
      <c r="AV182" s="83"/>
      <c r="AW182" s="83"/>
      <c r="AX182" s="96"/>
      <c r="AY182" s="96"/>
      <c r="AZ182" s="96"/>
      <c r="BA182" s="96"/>
      <c r="BB182" s="83"/>
      <c r="BC182" s="83"/>
      <c r="BD182" s="83"/>
      <c r="BE182" s="83"/>
      <c r="BF182" s="96"/>
      <c r="BG182" s="96"/>
      <c r="BH182" s="96"/>
      <c r="BI182" s="96"/>
      <c r="BJ182" s="83"/>
      <c r="BK182" s="83"/>
      <c r="BL182" s="83"/>
      <c r="BM182" s="83"/>
      <c r="BN182" s="96"/>
      <c r="BO182" s="96"/>
      <c r="BP182" s="96"/>
      <c r="BQ182" s="96"/>
      <c r="BR182" s="83"/>
      <c r="BS182" s="83"/>
      <c r="BT182" s="83"/>
      <c r="BU182" s="83"/>
      <c r="BV182" s="96"/>
      <c r="BW182" s="96"/>
      <c r="BX182" s="96"/>
      <c r="BY182" s="96"/>
      <c r="BZ182" s="83"/>
      <c r="CA182" s="83"/>
      <c r="CB182" s="83"/>
      <c r="CC182" s="83"/>
      <c r="CD182" s="96"/>
      <c r="CE182" s="96"/>
      <c r="CF182" s="96"/>
      <c r="CG182" s="96"/>
      <c r="CH182" s="83"/>
      <c r="CI182" s="83"/>
      <c r="CJ182" s="83"/>
      <c r="CK182" s="83"/>
      <c r="CL182" s="96"/>
      <c r="CM182" s="96"/>
      <c r="CN182" s="96"/>
      <c r="CO182" s="96"/>
      <c r="CP182" s="83"/>
      <c r="CQ182" s="83"/>
      <c r="CR182" s="83"/>
      <c r="CS182" s="83"/>
      <c r="CT182" s="96"/>
      <c r="CU182" s="96"/>
      <c r="CV182" s="96"/>
      <c r="CW182" s="96"/>
      <c r="CX182" s="83"/>
      <c r="CY182" s="83"/>
      <c r="CZ182" s="83"/>
      <c r="DA182" s="83"/>
      <c r="DB182" s="96">
        <v>99481.188181818186</v>
      </c>
      <c r="DC182" s="83">
        <v>186527.22784090909</v>
      </c>
      <c r="DD182" s="96"/>
      <c r="DE182" s="102"/>
    </row>
    <row r="183" spans="1:109" x14ac:dyDescent="0.2">
      <c r="A183" s="14">
        <v>175</v>
      </c>
      <c r="B183" s="28" t="s">
        <v>288</v>
      </c>
      <c r="C183" s="14" t="s">
        <v>800</v>
      </c>
      <c r="D183" s="28"/>
      <c r="E183" s="28"/>
      <c r="F183" s="83" t="s">
        <v>938</v>
      </c>
      <c r="G183" s="83" t="s">
        <v>657</v>
      </c>
      <c r="H183" s="83">
        <v>1</v>
      </c>
      <c r="I183" s="83">
        <v>99481.188181818186</v>
      </c>
      <c r="J183" s="96" t="s">
        <v>949</v>
      </c>
      <c r="K183" s="96" t="s">
        <v>657</v>
      </c>
      <c r="L183" s="96">
        <v>1</v>
      </c>
      <c r="M183" s="96">
        <v>99481.188181818186</v>
      </c>
      <c r="N183" s="83"/>
      <c r="O183" s="83"/>
      <c r="P183" s="83"/>
      <c r="Q183" s="83"/>
      <c r="R183" s="96"/>
      <c r="S183" s="96"/>
      <c r="T183" s="96"/>
      <c r="U183" s="96"/>
      <c r="V183" s="83"/>
      <c r="W183" s="83"/>
      <c r="X183" s="83"/>
      <c r="Y183" s="83"/>
      <c r="Z183" s="96"/>
      <c r="AA183" s="96"/>
      <c r="AB183" s="96"/>
      <c r="AC183" s="96"/>
      <c r="AD183" s="83"/>
      <c r="AE183" s="83"/>
      <c r="AF183" s="83"/>
      <c r="AG183" s="83"/>
      <c r="AH183" s="96"/>
      <c r="AI183" s="96"/>
      <c r="AJ183" s="96"/>
      <c r="AK183" s="96"/>
      <c r="AL183" s="83"/>
      <c r="AM183" s="83"/>
      <c r="AN183" s="83"/>
      <c r="AO183" s="83"/>
      <c r="AP183" s="96"/>
      <c r="AQ183" s="96"/>
      <c r="AR183" s="96"/>
      <c r="AS183" s="96"/>
      <c r="AT183" s="83"/>
      <c r="AU183" s="83"/>
      <c r="AV183" s="83"/>
      <c r="AW183" s="83"/>
      <c r="AX183" s="96"/>
      <c r="AY183" s="96"/>
      <c r="AZ183" s="96"/>
      <c r="BA183" s="96"/>
      <c r="BB183" s="83"/>
      <c r="BC183" s="83"/>
      <c r="BD183" s="83"/>
      <c r="BE183" s="83"/>
      <c r="BF183" s="96"/>
      <c r="BG183" s="96"/>
      <c r="BH183" s="96"/>
      <c r="BI183" s="96"/>
      <c r="BJ183" s="83"/>
      <c r="BK183" s="83"/>
      <c r="BL183" s="83"/>
      <c r="BM183" s="83"/>
      <c r="BN183" s="96"/>
      <c r="BO183" s="96"/>
      <c r="BP183" s="96"/>
      <c r="BQ183" s="96"/>
      <c r="BR183" s="83"/>
      <c r="BS183" s="83"/>
      <c r="BT183" s="83"/>
      <c r="BU183" s="83"/>
      <c r="BV183" s="96"/>
      <c r="BW183" s="96"/>
      <c r="BX183" s="96"/>
      <c r="BY183" s="96"/>
      <c r="BZ183" s="83"/>
      <c r="CA183" s="83"/>
      <c r="CB183" s="83"/>
      <c r="CC183" s="83"/>
      <c r="CD183" s="96"/>
      <c r="CE183" s="96"/>
      <c r="CF183" s="96"/>
      <c r="CG183" s="96"/>
      <c r="CH183" s="83"/>
      <c r="CI183" s="83"/>
      <c r="CJ183" s="83"/>
      <c r="CK183" s="83"/>
      <c r="CL183" s="96"/>
      <c r="CM183" s="96"/>
      <c r="CN183" s="96"/>
      <c r="CO183" s="96"/>
      <c r="CP183" s="83"/>
      <c r="CQ183" s="83"/>
      <c r="CR183" s="83"/>
      <c r="CS183" s="83"/>
      <c r="CT183" s="96"/>
      <c r="CU183" s="96"/>
      <c r="CV183" s="96"/>
      <c r="CW183" s="96"/>
      <c r="CX183" s="83"/>
      <c r="CY183" s="83"/>
      <c r="CZ183" s="83"/>
      <c r="DA183" s="83"/>
      <c r="DB183" s="96">
        <v>99481.188181818186</v>
      </c>
      <c r="DC183" s="83">
        <v>198962.37636363637</v>
      </c>
      <c r="DD183" s="96"/>
      <c r="DE183" s="102"/>
    </row>
    <row r="184" spans="1:109" x14ac:dyDescent="0.2">
      <c r="A184" s="14">
        <v>176</v>
      </c>
      <c r="B184" s="28" t="s">
        <v>336</v>
      </c>
      <c r="C184" s="14" t="s">
        <v>801</v>
      </c>
      <c r="D184" s="28"/>
      <c r="E184" s="28"/>
      <c r="F184" s="83"/>
      <c r="G184" s="83"/>
      <c r="H184" s="83"/>
      <c r="I184" s="83"/>
      <c r="J184" s="96"/>
      <c r="K184" s="96"/>
      <c r="L184" s="96"/>
      <c r="M184" s="96"/>
      <c r="N184" s="83"/>
      <c r="O184" s="83"/>
      <c r="P184" s="83"/>
      <c r="Q184" s="83"/>
      <c r="R184" s="96"/>
      <c r="S184" s="96"/>
      <c r="T184" s="96"/>
      <c r="U184" s="96"/>
      <c r="V184" s="83"/>
      <c r="W184" s="83"/>
      <c r="X184" s="83"/>
      <c r="Y184" s="83"/>
      <c r="Z184" s="96"/>
      <c r="AA184" s="96"/>
      <c r="AB184" s="96"/>
      <c r="AC184" s="96"/>
      <c r="AD184" s="83"/>
      <c r="AE184" s="83"/>
      <c r="AF184" s="83"/>
      <c r="AG184" s="83"/>
      <c r="AH184" s="96"/>
      <c r="AI184" s="96"/>
      <c r="AJ184" s="96"/>
      <c r="AK184" s="96"/>
      <c r="AL184" s="83"/>
      <c r="AM184" s="83"/>
      <c r="AN184" s="83"/>
      <c r="AO184" s="83"/>
      <c r="AP184" s="96"/>
      <c r="AQ184" s="96"/>
      <c r="AR184" s="96"/>
      <c r="AS184" s="96"/>
      <c r="AT184" s="83"/>
      <c r="AU184" s="83"/>
      <c r="AV184" s="83"/>
      <c r="AW184" s="83"/>
      <c r="AX184" s="96"/>
      <c r="AY184" s="96"/>
      <c r="AZ184" s="96"/>
      <c r="BA184" s="96"/>
      <c r="BB184" s="83"/>
      <c r="BC184" s="83"/>
      <c r="BD184" s="83"/>
      <c r="BE184" s="83"/>
      <c r="BF184" s="96"/>
      <c r="BG184" s="96"/>
      <c r="BH184" s="96"/>
      <c r="BI184" s="96"/>
      <c r="BJ184" s="83"/>
      <c r="BK184" s="83"/>
      <c r="BL184" s="83"/>
      <c r="BM184" s="83"/>
      <c r="BN184" s="96"/>
      <c r="BO184" s="96"/>
      <c r="BP184" s="96"/>
      <c r="BQ184" s="96"/>
      <c r="BR184" s="83"/>
      <c r="BS184" s="83"/>
      <c r="BT184" s="83"/>
      <c r="BU184" s="83"/>
      <c r="BV184" s="96"/>
      <c r="BW184" s="96"/>
      <c r="BX184" s="96"/>
      <c r="BY184" s="96"/>
      <c r="BZ184" s="83"/>
      <c r="CA184" s="83"/>
      <c r="CB184" s="83"/>
      <c r="CC184" s="83"/>
      <c r="CD184" s="96"/>
      <c r="CE184" s="96"/>
      <c r="CF184" s="96"/>
      <c r="CG184" s="96"/>
      <c r="CH184" s="83"/>
      <c r="CI184" s="83"/>
      <c r="CJ184" s="83"/>
      <c r="CK184" s="83"/>
      <c r="CL184" s="96"/>
      <c r="CM184" s="96"/>
      <c r="CN184" s="96"/>
      <c r="CO184" s="96"/>
      <c r="CP184" s="83"/>
      <c r="CQ184" s="83"/>
      <c r="CR184" s="83"/>
      <c r="CS184" s="83"/>
      <c r="CT184" s="96"/>
      <c r="CU184" s="96"/>
      <c r="CV184" s="96"/>
      <c r="CW184" s="96"/>
      <c r="CX184" s="83"/>
      <c r="CY184" s="83"/>
      <c r="CZ184" s="83"/>
      <c r="DA184" s="83"/>
      <c r="DB184" s="96"/>
      <c r="DC184" s="83"/>
      <c r="DD184" s="96"/>
      <c r="DE184" s="102"/>
    </row>
    <row r="185" spans="1:109" x14ac:dyDescent="0.2">
      <c r="A185" s="14">
        <v>177</v>
      </c>
      <c r="B185" s="28" t="s">
        <v>334</v>
      </c>
      <c r="C185" s="14" t="s">
        <v>895</v>
      </c>
      <c r="D185" s="28"/>
      <c r="E185" s="28"/>
      <c r="F185" s="83" t="s">
        <v>955</v>
      </c>
      <c r="G185" s="83" t="s">
        <v>662</v>
      </c>
      <c r="H185" s="83">
        <v>0.53874999999999984</v>
      </c>
      <c r="I185" s="83">
        <v>40984.786442613622</v>
      </c>
      <c r="J185" s="96" t="s">
        <v>939</v>
      </c>
      <c r="K185" s="96" t="s">
        <v>657</v>
      </c>
      <c r="L185" s="96">
        <v>0.83000000000000007</v>
      </c>
      <c r="M185" s="96">
        <v>63141.295122727279</v>
      </c>
      <c r="N185" s="83" t="s">
        <v>956</v>
      </c>
      <c r="O185" s="83" t="s">
        <v>662</v>
      </c>
      <c r="P185" s="83">
        <v>0.38624999999999998</v>
      </c>
      <c r="Q185" s="83">
        <v>29383.524386931818</v>
      </c>
      <c r="R185" s="96" t="s">
        <v>953</v>
      </c>
      <c r="S185" s="96" t="s">
        <v>657</v>
      </c>
      <c r="T185" s="96">
        <v>0.77249999999999996</v>
      </c>
      <c r="U185" s="96">
        <v>58767.048773863637</v>
      </c>
      <c r="V185" s="83"/>
      <c r="W185" s="83"/>
      <c r="X185" s="83"/>
      <c r="Y185" s="83"/>
      <c r="Z185" s="96"/>
      <c r="AA185" s="96"/>
      <c r="AB185" s="96"/>
      <c r="AC185" s="96"/>
      <c r="AD185" s="83"/>
      <c r="AE185" s="83"/>
      <c r="AF185" s="83"/>
      <c r="AG185" s="83"/>
      <c r="AH185" s="96"/>
      <c r="AI185" s="96"/>
      <c r="AJ185" s="96"/>
      <c r="AK185" s="96"/>
      <c r="AL185" s="83"/>
      <c r="AM185" s="83"/>
      <c r="AN185" s="83"/>
      <c r="AO185" s="83"/>
      <c r="AP185" s="96"/>
      <c r="AQ185" s="96"/>
      <c r="AR185" s="96"/>
      <c r="AS185" s="96"/>
      <c r="AT185" s="83"/>
      <c r="AU185" s="83"/>
      <c r="AV185" s="83"/>
      <c r="AW185" s="83"/>
      <c r="AX185" s="96"/>
      <c r="AY185" s="96"/>
      <c r="AZ185" s="96"/>
      <c r="BA185" s="96"/>
      <c r="BB185" s="83"/>
      <c r="BC185" s="83"/>
      <c r="BD185" s="83"/>
      <c r="BE185" s="83"/>
      <c r="BF185" s="96"/>
      <c r="BG185" s="96"/>
      <c r="BH185" s="96"/>
      <c r="BI185" s="96"/>
      <c r="BJ185" s="83"/>
      <c r="BK185" s="83"/>
      <c r="BL185" s="83"/>
      <c r="BM185" s="83"/>
      <c r="BN185" s="96"/>
      <c r="BO185" s="96"/>
      <c r="BP185" s="96"/>
      <c r="BQ185" s="96"/>
      <c r="BR185" s="83"/>
      <c r="BS185" s="83"/>
      <c r="BT185" s="83"/>
      <c r="BU185" s="83"/>
      <c r="BV185" s="96"/>
      <c r="BW185" s="96"/>
      <c r="BX185" s="96"/>
      <c r="BY185" s="96"/>
      <c r="BZ185" s="83"/>
      <c r="CA185" s="83"/>
      <c r="CB185" s="83"/>
      <c r="CC185" s="83"/>
      <c r="CD185" s="96"/>
      <c r="CE185" s="96"/>
      <c r="CF185" s="96"/>
      <c r="CG185" s="96"/>
      <c r="CH185" s="83"/>
      <c r="CI185" s="83"/>
      <c r="CJ185" s="83"/>
      <c r="CK185" s="83"/>
      <c r="CL185" s="96"/>
      <c r="CM185" s="96"/>
      <c r="CN185" s="96"/>
      <c r="CO185" s="96"/>
      <c r="CP185" s="83"/>
      <c r="CQ185" s="83"/>
      <c r="CR185" s="83"/>
      <c r="CS185" s="83"/>
      <c r="CT185" s="96"/>
      <c r="CU185" s="96"/>
      <c r="CV185" s="96"/>
      <c r="CW185" s="96"/>
      <c r="CX185" s="83"/>
      <c r="CY185" s="83"/>
      <c r="CZ185" s="83"/>
      <c r="DA185" s="83"/>
      <c r="DB185" s="96">
        <v>76073.849545454548</v>
      </c>
      <c r="DC185" s="83">
        <v>192276.65472613636</v>
      </c>
      <c r="DD185" s="96"/>
      <c r="DE185" s="102"/>
    </row>
    <row r="186" spans="1:109" x14ac:dyDescent="0.2">
      <c r="A186" s="14">
        <v>178</v>
      </c>
      <c r="B186" s="28" t="s">
        <v>842</v>
      </c>
      <c r="C186" s="14" t="s">
        <v>896</v>
      </c>
      <c r="D186" s="28"/>
      <c r="E186" s="28"/>
      <c r="F186" s="83" t="s">
        <v>950</v>
      </c>
      <c r="G186" s="83" t="s">
        <v>662</v>
      </c>
      <c r="H186" s="83">
        <v>0.625</v>
      </c>
      <c r="I186" s="83">
        <v>62175.742613636365</v>
      </c>
      <c r="J186" s="96" t="s">
        <v>942</v>
      </c>
      <c r="K186" s="96" t="s">
        <v>662</v>
      </c>
      <c r="L186" s="96">
        <v>0.375</v>
      </c>
      <c r="M186" s="96">
        <v>37305.445568181822</v>
      </c>
      <c r="N186" s="83" t="s">
        <v>956</v>
      </c>
      <c r="O186" s="83" t="s">
        <v>662</v>
      </c>
      <c r="P186" s="83">
        <v>0.54249999999999998</v>
      </c>
      <c r="Q186" s="83">
        <v>53968.544588636367</v>
      </c>
      <c r="R186" s="96" t="s">
        <v>958</v>
      </c>
      <c r="S186" s="96" t="s">
        <v>662</v>
      </c>
      <c r="T186" s="96">
        <v>0.6887500000000002</v>
      </c>
      <c r="U186" s="96">
        <v>68517.668360227297</v>
      </c>
      <c r="V186" s="83" t="s">
        <v>902</v>
      </c>
      <c r="W186" s="83" t="s">
        <v>657</v>
      </c>
      <c r="X186" s="83">
        <v>1</v>
      </c>
      <c r="Y186" s="83">
        <v>99481.188181818186</v>
      </c>
      <c r="Z186" s="96" t="s">
        <v>897</v>
      </c>
      <c r="AA186" s="96" t="s">
        <v>657</v>
      </c>
      <c r="AB186" s="96">
        <v>1</v>
      </c>
      <c r="AC186" s="96">
        <v>99481.188181818186</v>
      </c>
      <c r="AD186" s="83" t="s">
        <v>898</v>
      </c>
      <c r="AE186" s="83" t="s">
        <v>662</v>
      </c>
      <c r="AF186" s="83">
        <v>0.625</v>
      </c>
      <c r="AG186" s="83">
        <v>62175.742613636365</v>
      </c>
      <c r="AH186" s="96"/>
      <c r="AI186" s="96"/>
      <c r="AJ186" s="96"/>
      <c r="AK186" s="96"/>
      <c r="AL186" s="83"/>
      <c r="AM186" s="83"/>
      <c r="AN186" s="83"/>
      <c r="AO186" s="83"/>
      <c r="AP186" s="96"/>
      <c r="AQ186" s="96"/>
      <c r="AR186" s="96"/>
      <c r="AS186" s="96"/>
      <c r="AT186" s="83"/>
      <c r="AU186" s="83"/>
      <c r="AV186" s="83"/>
      <c r="AW186" s="83"/>
      <c r="AX186" s="96"/>
      <c r="AY186" s="96"/>
      <c r="AZ186" s="96"/>
      <c r="BA186" s="96"/>
      <c r="BB186" s="83"/>
      <c r="BC186" s="83"/>
      <c r="BD186" s="83"/>
      <c r="BE186" s="83"/>
      <c r="BF186" s="96"/>
      <c r="BG186" s="96"/>
      <c r="BH186" s="96"/>
      <c r="BI186" s="96"/>
      <c r="BJ186" s="83"/>
      <c r="BK186" s="83"/>
      <c r="BL186" s="83"/>
      <c r="BM186" s="83"/>
      <c r="BN186" s="96"/>
      <c r="BO186" s="96"/>
      <c r="BP186" s="96"/>
      <c r="BQ186" s="96"/>
      <c r="BR186" s="83"/>
      <c r="BS186" s="83"/>
      <c r="BT186" s="83"/>
      <c r="BU186" s="83"/>
      <c r="BV186" s="96"/>
      <c r="BW186" s="96"/>
      <c r="BX186" s="96"/>
      <c r="BY186" s="96"/>
      <c r="BZ186" s="83"/>
      <c r="CA186" s="83"/>
      <c r="CB186" s="83"/>
      <c r="CC186" s="83"/>
      <c r="CD186" s="96"/>
      <c r="CE186" s="96"/>
      <c r="CF186" s="96"/>
      <c r="CG186" s="96"/>
      <c r="CH186" s="83"/>
      <c r="CI186" s="83"/>
      <c r="CJ186" s="83"/>
      <c r="CK186" s="83"/>
      <c r="CL186" s="96"/>
      <c r="CM186" s="96"/>
      <c r="CN186" s="96"/>
      <c r="CO186" s="96"/>
      <c r="CP186" s="83"/>
      <c r="CQ186" s="83"/>
      <c r="CR186" s="83"/>
      <c r="CS186" s="83"/>
      <c r="CT186" s="96"/>
      <c r="CU186" s="96"/>
      <c r="CV186" s="96"/>
      <c r="CW186" s="96"/>
      <c r="CX186" s="83"/>
      <c r="CY186" s="83"/>
      <c r="CZ186" s="83"/>
      <c r="DA186" s="83"/>
      <c r="DB186" s="96">
        <v>99481.188181818186</v>
      </c>
      <c r="DC186" s="83">
        <v>483105.52010795457</v>
      </c>
      <c r="DD186" s="96"/>
      <c r="DE186" s="102"/>
    </row>
    <row r="187" spans="1:109" x14ac:dyDescent="0.2">
      <c r="A187" s="14">
        <v>179</v>
      </c>
      <c r="B187" s="28" t="s">
        <v>327</v>
      </c>
      <c r="C187" s="14" t="s">
        <v>683</v>
      </c>
      <c r="D187" s="28"/>
      <c r="E187" s="28"/>
      <c r="F187" s="83" t="s">
        <v>900</v>
      </c>
      <c r="G187" s="83" t="s">
        <v>662</v>
      </c>
      <c r="H187" s="83">
        <v>0.55624999999999991</v>
      </c>
      <c r="I187" s="83">
        <v>42316.078809659084</v>
      </c>
      <c r="J187" s="96" t="s">
        <v>956</v>
      </c>
      <c r="K187" s="96" t="s">
        <v>662</v>
      </c>
      <c r="L187" s="96">
        <v>0.27499999999999991</v>
      </c>
      <c r="M187" s="96">
        <v>20920.308624999994</v>
      </c>
      <c r="N187" s="83" t="s">
        <v>958</v>
      </c>
      <c r="O187" s="83" t="s">
        <v>662</v>
      </c>
      <c r="P187" s="83">
        <v>0.50749999999999984</v>
      </c>
      <c r="Q187" s="83">
        <v>38607.478644318173</v>
      </c>
      <c r="R187" s="96"/>
      <c r="S187" s="96"/>
      <c r="T187" s="96"/>
      <c r="U187" s="96"/>
      <c r="V187" s="83"/>
      <c r="W187" s="83"/>
      <c r="X187" s="83"/>
      <c r="Y187" s="83"/>
      <c r="Z187" s="96"/>
      <c r="AA187" s="96"/>
      <c r="AB187" s="96"/>
      <c r="AC187" s="96"/>
      <c r="AD187" s="83"/>
      <c r="AE187" s="83"/>
      <c r="AF187" s="83"/>
      <c r="AG187" s="83"/>
      <c r="AH187" s="96"/>
      <c r="AI187" s="96"/>
      <c r="AJ187" s="96"/>
      <c r="AK187" s="96"/>
      <c r="AL187" s="83"/>
      <c r="AM187" s="83"/>
      <c r="AN187" s="83"/>
      <c r="AO187" s="83"/>
      <c r="AP187" s="96"/>
      <c r="AQ187" s="96"/>
      <c r="AR187" s="96"/>
      <c r="AS187" s="96"/>
      <c r="AT187" s="83"/>
      <c r="AU187" s="83"/>
      <c r="AV187" s="83"/>
      <c r="AW187" s="83"/>
      <c r="AX187" s="96"/>
      <c r="AY187" s="96"/>
      <c r="AZ187" s="96"/>
      <c r="BA187" s="96"/>
      <c r="BB187" s="83"/>
      <c r="BC187" s="83"/>
      <c r="BD187" s="83"/>
      <c r="BE187" s="83"/>
      <c r="BF187" s="96"/>
      <c r="BG187" s="96"/>
      <c r="BH187" s="96"/>
      <c r="BI187" s="96"/>
      <c r="BJ187" s="83"/>
      <c r="BK187" s="83"/>
      <c r="BL187" s="83"/>
      <c r="BM187" s="83"/>
      <c r="BN187" s="96"/>
      <c r="BO187" s="96"/>
      <c r="BP187" s="96"/>
      <c r="BQ187" s="96"/>
      <c r="BR187" s="83"/>
      <c r="BS187" s="83"/>
      <c r="BT187" s="83"/>
      <c r="BU187" s="83"/>
      <c r="BV187" s="96"/>
      <c r="BW187" s="96"/>
      <c r="BX187" s="96"/>
      <c r="BY187" s="96"/>
      <c r="BZ187" s="83"/>
      <c r="CA187" s="83"/>
      <c r="CB187" s="83"/>
      <c r="CC187" s="83"/>
      <c r="CD187" s="96"/>
      <c r="CE187" s="96"/>
      <c r="CF187" s="96"/>
      <c r="CG187" s="96"/>
      <c r="CH187" s="83"/>
      <c r="CI187" s="83"/>
      <c r="CJ187" s="83"/>
      <c r="CK187" s="83"/>
      <c r="CL187" s="96"/>
      <c r="CM187" s="96"/>
      <c r="CN187" s="96"/>
      <c r="CO187" s="96"/>
      <c r="CP187" s="83"/>
      <c r="CQ187" s="83"/>
      <c r="CR187" s="83"/>
      <c r="CS187" s="83"/>
      <c r="CT187" s="96"/>
      <c r="CU187" s="96"/>
      <c r="CV187" s="96"/>
      <c r="CW187" s="96"/>
      <c r="CX187" s="83"/>
      <c r="CY187" s="83"/>
      <c r="CZ187" s="83"/>
      <c r="DA187" s="83"/>
      <c r="DB187" s="96">
        <v>76073.849545454548</v>
      </c>
      <c r="DC187" s="83">
        <v>101843.86607897724</v>
      </c>
      <c r="DD187" s="96"/>
      <c r="DE187" s="102"/>
    </row>
    <row r="188" spans="1:109" x14ac:dyDescent="0.2">
      <c r="A188" s="14"/>
      <c r="B188" s="28"/>
      <c r="C188" s="14"/>
      <c r="D188" s="28"/>
      <c r="E188" s="28"/>
      <c r="F188" s="83"/>
      <c r="G188" s="83"/>
      <c r="H188" s="83"/>
      <c r="I188" s="83"/>
      <c r="J188" s="96"/>
      <c r="K188" s="96"/>
      <c r="L188" s="96"/>
      <c r="M188" s="96"/>
      <c r="N188" s="83"/>
      <c r="O188" s="83"/>
      <c r="P188" s="83"/>
      <c r="Q188" s="83"/>
      <c r="R188" s="96"/>
      <c r="S188" s="96"/>
      <c r="T188" s="96"/>
      <c r="U188" s="96"/>
      <c r="V188" s="83"/>
      <c r="W188" s="83"/>
      <c r="X188" s="83"/>
      <c r="Y188" s="83"/>
      <c r="Z188" s="96"/>
      <c r="AA188" s="96"/>
      <c r="AB188" s="96"/>
      <c r="AC188" s="96"/>
      <c r="AD188" s="83"/>
      <c r="AE188" s="83"/>
      <c r="AF188" s="83"/>
      <c r="AG188" s="83"/>
      <c r="AH188" s="96"/>
      <c r="AI188" s="96"/>
      <c r="AJ188" s="96"/>
      <c r="AK188" s="96"/>
      <c r="AL188" s="83"/>
      <c r="AM188" s="83"/>
      <c r="AN188" s="83"/>
      <c r="AO188" s="83"/>
      <c r="AP188" s="96"/>
      <c r="AQ188" s="96"/>
      <c r="AR188" s="96"/>
      <c r="AS188" s="96"/>
      <c r="AT188" s="83"/>
      <c r="AU188" s="83"/>
      <c r="AV188" s="83"/>
      <c r="AW188" s="83"/>
      <c r="AX188" s="96"/>
      <c r="AY188" s="96"/>
      <c r="AZ188" s="96"/>
      <c r="BA188" s="96"/>
      <c r="BB188" s="83"/>
      <c r="BC188" s="83"/>
      <c r="BD188" s="83"/>
      <c r="BE188" s="83"/>
      <c r="BF188" s="96"/>
      <c r="BG188" s="96"/>
      <c r="BH188" s="96"/>
      <c r="BI188" s="96"/>
      <c r="BJ188" s="83"/>
      <c r="BK188" s="83"/>
      <c r="BL188" s="83"/>
      <c r="BM188" s="83"/>
      <c r="BN188" s="96"/>
      <c r="BO188" s="96"/>
      <c r="BP188" s="96"/>
      <c r="BQ188" s="96"/>
      <c r="BR188" s="83"/>
      <c r="BS188" s="83"/>
      <c r="BT188" s="83"/>
      <c r="BU188" s="83"/>
      <c r="BV188" s="96"/>
      <c r="BW188" s="96"/>
      <c r="BX188" s="96"/>
      <c r="BY188" s="96"/>
      <c r="BZ188" s="83"/>
      <c r="CA188" s="83"/>
      <c r="CB188" s="83"/>
      <c r="CC188" s="83"/>
      <c r="CD188" s="96"/>
      <c r="CE188" s="96"/>
      <c r="CF188" s="96"/>
      <c r="CG188" s="96"/>
      <c r="CH188" s="83"/>
      <c r="CI188" s="83"/>
      <c r="CJ188" s="83"/>
      <c r="CK188" s="83"/>
      <c r="CL188" s="96"/>
      <c r="CM188" s="96"/>
      <c r="CN188" s="96"/>
      <c r="CO188" s="96"/>
      <c r="CP188" s="83"/>
      <c r="CQ188" s="83"/>
      <c r="CR188" s="83"/>
      <c r="CS188" s="83"/>
      <c r="CT188" s="96"/>
      <c r="CU188" s="96"/>
      <c r="CV188" s="96"/>
      <c r="CW188" s="96"/>
      <c r="CX188" s="83"/>
      <c r="CY188" s="83"/>
      <c r="CZ188" s="83"/>
      <c r="DA188" s="83"/>
      <c r="DB188" s="96"/>
      <c r="DC188" s="83"/>
      <c r="DD188" s="96"/>
      <c r="DE188" s="102"/>
    </row>
    <row r="189" spans="1:109" x14ac:dyDescent="0.2">
      <c r="A189" s="14"/>
      <c r="B189" s="28"/>
      <c r="C189" s="14"/>
      <c r="D189" s="28"/>
      <c r="E189" s="28"/>
      <c r="F189" s="83"/>
      <c r="G189" s="83"/>
      <c r="H189" s="83"/>
      <c r="I189" s="83"/>
      <c r="J189" s="96"/>
      <c r="K189" s="96"/>
      <c r="L189" s="96"/>
      <c r="M189" s="96"/>
      <c r="N189" s="83"/>
      <c r="O189" s="83"/>
      <c r="P189" s="83"/>
      <c r="Q189" s="83"/>
      <c r="R189" s="96"/>
      <c r="S189" s="96"/>
      <c r="T189" s="96"/>
      <c r="U189" s="96"/>
      <c r="V189" s="83"/>
      <c r="W189" s="83"/>
      <c r="X189" s="83"/>
      <c r="Y189" s="83"/>
      <c r="Z189" s="96"/>
      <c r="AA189" s="96"/>
      <c r="AB189" s="96"/>
      <c r="AC189" s="96"/>
      <c r="AD189" s="83"/>
      <c r="AE189" s="83"/>
      <c r="AF189" s="83"/>
      <c r="AG189" s="83"/>
      <c r="AH189" s="96"/>
      <c r="AI189" s="96"/>
      <c r="AJ189" s="96"/>
      <c r="AK189" s="96"/>
      <c r="AL189" s="83"/>
      <c r="AM189" s="83"/>
      <c r="AN189" s="83"/>
      <c r="AO189" s="83"/>
      <c r="AP189" s="96"/>
      <c r="AQ189" s="96"/>
      <c r="AR189" s="96"/>
      <c r="AS189" s="96"/>
      <c r="AT189" s="83"/>
      <c r="AU189" s="83"/>
      <c r="AV189" s="83"/>
      <c r="AW189" s="83"/>
      <c r="AX189" s="96"/>
      <c r="AY189" s="96"/>
      <c r="AZ189" s="96"/>
      <c r="BA189" s="96"/>
      <c r="BB189" s="83"/>
      <c r="BC189" s="83"/>
      <c r="BD189" s="83"/>
      <c r="BE189" s="83"/>
      <c r="BF189" s="96"/>
      <c r="BG189" s="96"/>
      <c r="BH189" s="96"/>
      <c r="BI189" s="96"/>
      <c r="BJ189" s="83"/>
      <c r="BK189" s="83"/>
      <c r="BL189" s="83"/>
      <c r="BM189" s="83"/>
      <c r="BN189" s="96"/>
      <c r="BO189" s="96"/>
      <c r="BP189" s="96"/>
      <c r="BQ189" s="96"/>
      <c r="BR189" s="83"/>
      <c r="BS189" s="83"/>
      <c r="BT189" s="83"/>
      <c r="BU189" s="83"/>
      <c r="BV189" s="96"/>
      <c r="BW189" s="96"/>
      <c r="BX189" s="96"/>
      <c r="BY189" s="96"/>
      <c r="BZ189" s="83"/>
      <c r="CA189" s="83"/>
      <c r="CB189" s="83"/>
      <c r="CC189" s="83"/>
      <c r="CD189" s="96"/>
      <c r="CE189" s="96"/>
      <c r="CF189" s="96"/>
      <c r="CG189" s="96"/>
      <c r="CH189" s="83"/>
      <c r="CI189" s="83"/>
      <c r="CJ189" s="83"/>
      <c r="CK189" s="83"/>
      <c r="CL189" s="96"/>
      <c r="CM189" s="96"/>
      <c r="CN189" s="96"/>
      <c r="CO189" s="96"/>
      <c r="CP189" s="83"/>
      <c r="CQ189" s="83"/>
      <c r="CR189" s="83"/>
      <c r="CS189" s="83"/>
      <c r="CT189" s="96"/>
      <c r="CU189" s="96"/>
      <c r="CV189" s="96"/>
      <c r="CW189" s="96"/>
      <c r="CX189" s="83"/>
      <c r="CY189" s="83"/>
      <c r="CZ189" s="83"/>
      <c r="DA189" s="83"/>
      <c r="DB189" s="96"/>
      <c r="DC189" s="83"/>
      <c r="DD189" s="96"/>
      <c r="DE189" s="102"/>
    </row>
    <row r="190" spans="1:109" x14ac:dyDescent="0.2">
      <c r="A190" s="14"/>
      <c r="B190" s="28"/>
      <c r="C190" s="14"/>
      <c r="D190" s="28"/>
      <c r="E190" s="28"/>
      <c r="F190" s="83"/>
      <c r="G190" s="83"/>
      <c r="H190" s="83"/>
      <c r="I190" s="83"/>
      <c r="J190" s="96"/>
      <c r="K190" s="96"/>
      <c r="L190" s="96"/>
      <c r="M190" s="96"/>
      <c r="N190" s="83"/>
      <c r="O190" s="83"/>
      <c r="P190" s="83"/>
      <c r="Q190" s="83"/>
      <c r="R190" s="96"/>
      <c r="S190" s="96"/>
      <c r="T190" s="96"/>
      <c r="U190" s="96"/>
      <c r="V190" s="83"/>
      <c r="W190" s="83"/>
      <c r="X190" s="83"/>
      <c r="Y190" s="83"/>
      <c r="Z190" s="96"/>
      <c r="AA190" s="96"/>
      <c r="AB190" s="96"/>
      <c r="AC190" s="96"/>
      <c r="AD190" s="83"/>
      <c r="AE190" s="83"/>
      <c r="AF190" s="83"/>
      <c r="AG190" s="83"/>
      <c r="AH190" s="96"/>
      <c r="AI190" s="96"/>
      <c r="AJ190" s="96"/>
      <c r="AK190" s="96"/>
      <c r="AL190" s="83"/>
      <c r="AM190" s="83"/>
      <c r="AN190" s="83"/>
      <c r="AO190" s="83"/>
      <c r="AP190" s="96"/>
      <c r="AQ190" s="96"/>
      <c r="AR190" s="96"/>
      <c r="AS190" s="96"/>
      <c r="AT190" s="83"/>
      <c r="AU190" s="83"/>
      <c r="AV190" s="83"/>
      <c r="AW190" s="83"/>
      <c r="AX190" s="96"/>
      <c r="AY190" s="96"/>
      <c r="AZ190" s="96"/>
      <c r="BA190" s="96"/>
      <c r="BB190" s="83"/>
      <c r="BC190" s="83"/>
      <c r="BD190" s="83"/>
      <c r="BE190" s="83"/>
      <c r="BF190" s="96"/>
      <c r="BG190" s="96"/>
      <c r="BH190" s="96"/>
      <c r="BI190" s="96"/>
      <c r="BJ190" s="83"/>
      <c r="BK190" s="83"/>
      <c r="BL190" s="83"/>
      <c r="BM190" s="83"/>
      <c r="BN190" s="96"/>
      <c r="BO190" s="96"/>
      <c r="BP190" s="96"/>
      <c r="BQ190" s="96"/>
      <c r="BR190" s="83"/>
      <c r="BS190" s="83"/>
      <c r="BT190" s="83"/>
      <c r="BU190" s="83"/>
      <c r="BV190" s="96"/>
      <c r="BW190" s="96"/>
      <c r="BX190" s="96"/>
      <c r="BY190" s="96"/>
      <c r="BZ190" s="83"/>
      <c r="CA190" s="83"/>
      <c r="CB190" s="83"/>
      <c r="CC190" s="83"/>
      <c r="CD190" s="96"/>
      <c r="CE190" s="96"/>
      <c r="CF190" s="96"/>
      <c r="CG190" s="96"/>
      <c r="CH190" s="83"/>
      <c r="CI190" s="83"/>
      <c r="CJ190" s="83"/>
      <c r="CK190" s="83"/>
      <c r="CL190" s="96"/>
      <c r="CM190" s="96"/>
      <c r="CN190" s="96"/>
      <c r="CO190" s="96"/>
      <c r="CP190" s="83"/>
      <c r="CQ190" s="83"/>
      <c r="CR190" s="83"/>
      <c r="CS190" s="83"/>
      <c r="CT190" s="96"/>
      <c r="CU190" s="96"/>
      <c r="CV190" s="96"/>
      <c r="CW190" s="96"/>
      <c r="CX190" s="83"/>
      <c r="CY190" s="83"/>
      <c r="CZ190" s="83"/>
      <c r="DA190" s="83"/>
      <c r="DB190" s="96"/>
      <c r="DC190" s="83"/>
      <c r="DD190" s="96"/>
      <c r="DE190" s="102"/>
    </row>
    <row r="191" spans="1:109" x14ac:dyDescent="0.2">
      <c r="A191" s="14"/>
      <c r="B191" s="28"/>
      <c r="C191" s="14"/>
      <c r="D191" s="28"/>
      <c r="E191" s="28"/>
      <c r="F191" s="83"/>
      <c r="G191" s="83"/>
      <c r="H191" s="83"/>
      <c r="I191" s="83"/>
      <c r="J191" s="96"/>
      <c r="K191" s="96"/>
      <c r="L191" s="96"/>
      <c r="M191" s="96"/>
      <c r="N191" s="83"/>
      <c r="O191" s="83"/>
      <c r="P191" s="83"/>
      <c r="Q191" s="83"/>
      <c r="R191" s="96"/>
      <c r="S191" s="96"/>
      <c r="T191" s="96"/>
      <c r="U191" s="96"/>
      <c r="V191" s="83"/>
      <c r="W191" s="83"/>
      <c r="X191" s="83"/>
      <c r="Y191" s="83"/>
      <c r="Z191" s="96"/>
      <c r="AA191" s="96"/>
      <c r="AB191" s="96"/>
      <c r="AC191" s="96"/>
      <c r="AD191" s="83"/>
      <c r="AE191" s="83"/>
      <c r="AF191" s="83"/>
      <c r="AG191" s="83"/>
      <c r="AH191" s="96"/>
      <c r="AI191" s="96"/>
      <c r="AJ191" s="96"/>
      <c r="AK191" s="96"/>
      <c r="AL191" s="83"/>
      <c r="AM191" s="83"/>
      <c r="AN191" s="83"/>
      <c r="AO191" s="83"/>
      <c r="AP191" s="96"/>
      <c r="AQ191" s="96"/>
      <c r="AR191" s="96"/>
      <c r="AS191" s="96"/>
      <c r="AT191" s="83"/>
      <c r="AU191" s="83"/>
      <c r="AV191" s="83"/>
      <c r="AW191" s="83"/>
      <c r="AX191" s="96"/>
      <c r="AY191" s="96"/>
      <c r="AZ191" s="96"/>
      <c r="BA191" s="96"/>
      <c r="BB191" s="83"/>
      <c r="BC191" s="83"/>
      <c r="BD191" s="83"/>
      <c r="BE191" s="83"/>
      <c r="BF191" s="96"/>
      <c r="BG191" s="96"/>
      <c r="BH191" s="96"/>
      <c r="BI191" s="96"/>
      <c r="BJ191" s="83"/>
      <c r="BK191" s="83"/>
      <c r="BL191" s="83"/>
      <c r="BM191" s="83"/>
      <c r="BN191" s="96"/>
      <c r="BO191" s="96"/>
      <c r="BP191" s="96"/>
      <c r="BQ191" s="96"/>
      <c r="BR191" s="83"/>
      <c r="BS191" s="83"/>
      <c r="BT191" s="83"/>
      <c r="BU191" s="83"/>
      <c r="BV191" s="96"/>
      <c r="BW191" s="96"/>
      <c r="BX191" s="96"/>
      <c r="BY191" s="96"/>
      <c r="BZ191" s="83"/>
      <c r="CA191" s="83"/>
      <c r="CB191" s="83"/>
      <c r="CC191" s="83"/>
      <c r="CD191" s="96"/>
      <c r="CE191" s="96"/>
      <c r="CF191" s="96"/>
      <c r="CG191" s="96"/>
      <c r="CH191" s="83"/>
      <c r="CI191" s="83"/>
      <c r="CJ191" s="83"/>
      <c r="CK191" s="83"/>
      <c r="CL191" s="96"/>
      <c r="CM191" s="96"/>
      <c r="CN191" s="96"/>
      <c r="CO191" s="96"/>
      <c r="CP191" s="83"/>
      <c r="CQ191" s="83"/>
      <c r="CR191" s="83"/>
      <c r="CS191" s="83"/>
      <c r="CT191" s="96"/>
      <c r="CU191" s="96"/>
      <c r="CV191" s="96"/>
      <c r="CW191" s="96"/>
      <c r="CX191" s="83"/>
      <c r="CY191" s="83"/>
      <c r="CZ191" s="83"/>
      <c r="DA191" s="83"/>
      <c r="DB191" s="96"/>
      <c r="DC191" s="83"/>
      <c r="DD191" s="96"/>
      <c r="DE191" s="102"/>
    </row>
    <row r="192" spans="1:109" x14ac:dyDescent="0.2">
      <c r="A192" s="14"/>
      <c r="B192" s="28"/>
      <c r="C192" s="14"/>
      <c r="D192" s="28"/>
      <c r="E192" s="28"/>
      <c r="F192" s="83"/>
      <c r="G192" s="83"/>
      <c r="H192" s="83"/>
      <c r="I192" s="83"/>
      <c r="J192" s="96"/>
      <c r="K192" s="96"/>
      <c r="L192" s="96"/>
      <c r="M192" s="96"/>
      <c r="N192" s="83"/>
      <c r="O192" s="83"/>
      <c r="P192" s="83"/>
      <c r="Q192" s="83"/>
      <c r="R192" s="96"/>
      <c r="S192" s="96"/>
      <c r="T192" s="96"/>
      <c r="U192" s="96"/>
      <c r="V192" s="83"/>
      <c r="W192" s="83"/>
      <c r="X192" s="83"/>
      <c r="Y192" s="83"/>
      <c r="Z192" s="96"/>
      <c r="AA192" s="96"/>
      <c r="AB192" s="96"/>
      <c r="AC192" s="96"/>
      <c r="AD192" s="83"/>
      <c r="AE192" s="83"/>
      <c r="AF192" s="83"/>
      <c r="AG192" s="83"/>
      <c r="AH192" s="96"/>
      <c r="AI192" s="96"/>
      <c r="AJ192" s="96"/>
      <c r="AK192" s="96"/>
      <c r="AL192" s="83"/>
      <c r="AM192" s="83"/>
      <c r="AN192" s="83"/>
      <c r="AO192" s="83"/>
      <c r="AP192" s="96"/>
      <c r="AQ192" s="96"/>
      <c r="AR192" s="96"/>
      <c r="AS192" s="96"/>
      <c r="AT192" s="83"/>
      <c r="AU192" s="83"/>
      <c r="AV192" s="83"/>
      <c r="AW192" s="83"/>
      <c r="AX192" s="96"/>
      <c r="AY192" s="96"/>
      <c r="AZ192" s="96"/>
      <c r="BA192" s="96"/>
      <c r="BB192" s="83"/>
      <c r="BC192" s="83"/>
      <c r="BD192" s="83"/>
      <c r="BE192" s="83"/>
      <c r="BF192" s="96"/>
      <c r="BG192" s="96"/>
      <c r="BH192" s="96"/>
      <c r="BI192" s="96"/>
      <c r="BJ192" s="83"/>
      <c r="BK192" s="83"/>
      <c r="BL192" s="83"/>
      <c r="BM192" s="83"/>
      <c r="BN192" s="96"/>
      <c r="BO192" s="96"/>
      <c r="BP192" s="96"/>
      <c r="BQ192" s="96"/>
      <c r="BR192" s="83"/>
      <c r="BS192" s="83"/>
      <c r="BT192" s="83"/>
      <c r="BU192" s="83"/>
      <c r="BV192" s="96"/>
      <c r="BW192" s="96"/>
      <c r="BX192" s="96"/>
      <c r="BY192" s="96"/>
      <c r="BZ192" s="83"/>
      <c r="CA192" s="83"/>
      <c r="CB192" s="83"/>
      <c r="CC192" s="83"/>
      <c r="CD192" s="96"/>
      <c r="CE192" s="96"/>
      <c r="CF192" s="96"/>
      <c r="CG192" s="96"/>
      <c r="CH192" s="83"/>
      <c r="CI192" s="83"/>
      <c r="CJ192" s="83"/>
      <c r="CK192" s="83"/>
      <c r="CL192" s="96"/>
      <c r="CM192" s="96"/>
      <c r="CN192" s="96"/>
      <c r="CO192" s="96"/>
      <c r="CP192" s="83"/>
      <c r="CQ192" s="83"/>
      <c r="CR192" s="83"/>
      <c r="CS192" s="83"/>
      <c r="CT192" s="96"/>
      <c r="CU192" s="96"/>
      <c r="CV192" s="96"/>
      <c r="CW192" s="96"/>
      <c r="CX192" s="83"/>
      <c r="CY192" s="83"/>
      <c r="CZ192" s="83"/>
      <c r="DA192" s="83"/>
      <c r="DB192" s="96"/>
      <c r="DC192" s="83"/>
      <c r="DD192" s="96"/>
      <c r="DE192" s="102"/>
    </row>
    <row r="193" spans="1:109" x14ac:dyDescent="0.2">
      <c r="A193" s="14"/>
      <c r="B193" s="28"/>
      <c r="C193" s="14"/>
      <c r="D193" s="28"/>
      <c r="E193" s="28"/>
      <c r="F193" s="83"/>
      <c r="G193" s="83"/>
      <c r="H193" s="83"/>
      <c r="I193" s="83"/>
      <c r="J193" s="96"/>
      <c r="K193" s="96"/>
      <c r="L193" s="96"/>
      <c r="M193" s="96"/>
      <c r="N193" s="83"/>
      <c r="O193" s="83"/>
      <c r="P193" s="83"/>
      <c r="Q193" s="83"/>
      <c r="R193" s="96"/>
      <c r="S193" s="96"/>
      <c r="T193" s="96"/>
      <c r="U193" s="96"/>
      <c r="V193" s="83"/>
      <c r="W193" s="83"/>
      <c r="X193" s="83"/>
      <c r="Y193" s="83"/>
      <c r="Z193" s="96"/>
      <c r="AA193" s="96"/>
      <c r="AB193" s="96"/>
      <c r="AC193" s="96"/>
      <c r="AD193" s="83"/>
      <c r="AE193" s="83"/>
      <c r="AF193" s="83"/>
      <c r="AG193" s="83"/>
      <c r="AH193" s="96"/>
      <c r="AI193" s="96"/>
      <c r="AJ193" s="96"/>
      <c r="AK193" s="96"/>
      <c r="AL193" s="83"/>
      <c r="AM193" s="83"/>
      <c r="AN193" s="83"/>
      <c r="AO193" s="83"/>
      <c r="AP193" s="96"/>
      <c r="AQ193" s="96"/>
      <c r="AR193" s="96"/>
      <c r="AS193" s="96"/>
      <c r="AT193" s="83"/>
      <c r="AU193" s="83"/>
      <c r="AV193" s="83"/>
      <c r="AW193" s="83"/>
      <c r="AX193" s="96"/>
      <c r="AY193" s="96"/>
      <c r="AZ193" s="96"/>
      <c r="BA193" s="96"/>
      <c r="BB193" s="83"/>
      <c r="BC193" s="83"/>
      <c r="BD193" s="83"/>
      <c r="BE193" s="83"/>
      <c r="BF193" s="96"/>
      <c r="BG193" s="96"/>
      <c r="BH193" s="96"/>
      <c r="BI193" s="96"/>
      <c r="BJ193" s="83"/>
      <c r="BK193" s="83"/>
      <c r="BL193" s="83"/>
      <c r="BM193" s="83"/>
      <c r="BN193" s="96"/>
      <c r="BO193" s="96"/>
      <c r="BP193" s="96"/>
      <c r="BQ193" s="96"/>
      <c r="BR193" s="83"/>
      <c r="BS193" s="83"/>
      <c r="BT193" s="83"/>
      <c r="BU193" s="83"/>
      <c r="BV193" s="96"/>
      <c r="BW193" s="96"/>
      <c r="BX193" s="96"/>
      <c r="BY193" s="96"/>
      <c r="BZ193" s="83"/>
      <c r="CA193" s="83"/>
      <c r="CB193" s="83"/>
      <c r="CC193" s="83"/>
      <c r="CD193" s="96"/>
      <c r="CE193" s="96"/>
      <c r="CF193" s="96"/>
      <c r="CG193" s="96"/>
      <c r="CH193" s="83"/>
      <c r="CI193" s="83"/>
      <c r="CJ193" s="83"/>
      <c r="CK193" s="83"/>
      <c r="CL193" s="96"/>
      <c r="CM193" s="96"/>
      <c r="CN193" s="96"/>
      <c r="CO193" s="96"/>
      <c r="CP193" s="83"/>
      <c r="CQ193" s="83"/>
      <c r="CR193" s="83"/>
      <c r="CS193" s="83"/>
      <c r="CT193" s="96"/>
      <c r="CU193" s="96"/>
      <c r="CV193" s="96"/>
      <c r="CW193" s="96"/>
      <c r="CX193" s="83"/>
      <c r="CY193" s="83"/>
      <c r="CZ193" s="83"/>
      <c r="DA193" s="83"/>
      <c r="DB193" s="96"/>
      <c r="DC193" s="83"/>
      <c r="DD193" s="96"/>
      <c r="DE193" s="102"/>
    </row>
    <row r="194" spans="1:109" x14ac:dyDescent="0.2">
      <c r="A194" s="14"/>
      <c r="B194" s="28"/>
      <c r="C194" s="14"/>
      <c r="D194" s="28"/>
      <c r="E194" s="28"/>
      <c r="F194" s="83"/>
      <c r="G194" s="83"/>
      <c r="H194" s="83"/>
      <c r="I194" s="83"/>
      <c r="J194" s="96"/>
      <c r="K194" s="96"/>
      <c r="L194" s="96"/>
      <c r="M194" s="96"/>
      <c r="N194" s="83"/>
      <c r="O194" s="83"/>
      <c r="P194" s="83"/>
      <c r="Q194" s="83"/>
      <c r="R194" s="96"/>
      <c r="S194" s="96"/>
      <c r="T194" s="96"/>
      <c r="U194" s="96"/>
      <c r="V194" s="83"/>
      <c r="W194" s="83"/>
      <c r="X194" s="83"/>
      <c r="Y194" s="83"/>
      <c r="Z194" s="96"/>
      <c r="AA194" s="96"/>
      <c r="AB194" s="96"/>
      <c r="AC194" s="96"/>
      <c r="AD194" s="83"/>
      <c r="AE194" s="83"/>
      <c r="AF194" s="83"/>
      <c r="AG194" s="83"/>
      <c r="AH194" s="96"/>
      <c r="AI194" s="96"/>
      <c r="AJ194" s="96"/>
      <c r="AK194" s="96"/>
      <c r="AL194" s="83"/>
      <c r="AM194" s="83"/>
      <c r="AN194" s="83"/>
      <c r="AO194" s="83"/>
      <c r="AP194" s="96"/>
      <c r="AQ194" s="96"/>
      <c r="AR194" s="96"/>
      <c r="AS194" s="96"/>
      <c r="AT194" s="83"/>
      <c r="AU194" s="83"/>
      <c r="AV194" s="83"/>
      <c r="AW194" s="83"/>
      <c r="AX194" s="96"/>
      <c r="AY194" s="96"/>
      <c r="AZ194" s="96"/>
      <c r="BA194" s="96"/>
      <c r="BB194" s="83"/>
      <c r="BC194" s="83"/>
      <c r="BD194" s="83"/>
      <c r="BE194" s="83"/>
      <c r="BF194" s="96"/>
      <c r="BG194" s="96"/>
      <c r="BH194" s="96"/>
      <c r="BI194" s="96"/>
      <c r="BJ194" s="83"/>
      <c r="BK194" s="83"/>
      <c r="BL194" s="83"/>
      <c r="BM194" s="83"/>
      <c r="BN194" s="96"/>
      <c r="BO194" s="96"/>
      <c r="BP194" s="96"/>
      <c r="BQ194" s="96"/>
      <c r="BR194" s="83"/>
      <c r="BS194" s="83"/>
      <c r="BT194" s="83"/>
      <c r="BU194" s="83"/>
      <c r="BV194" s="96"/>
      <c r="BW194" s="96"/>
      <c r="BX194" s="96"/>
      <c r="BY194" s="96"/>
      <c r="BZ194" s="83"/>
      <c r="CA194" s="83"/>
      <c r="CB194" s="83"/>
      <c r="CC194" s="83"/>
      <c r="CD194" s="96"/>
      <c r="CE194" s="96"/>
      <c r="CF194" s="96"/>
      <c r="CG194" s="96"/>
      <c r="CH194" s="83"/>
      <c r="CI194" s="83"/>
      <c r="CJ194" s="83"/>
      <c r="CK194" s="83"/>
      <c r="CL194" s="96"/>
      <c r="CM194" s="96"/>
      <c r="CN194" s="96"/>
      <c r="CO194" s="96"/>
      <c r="CP194" s="83"/>
      <c r="CQ194" s="83"/>
      <c r="CR194" s="83"/>
      <c r="CS194" s="83"/>
      <c r="CT194" s="96"/>
      <c r="CU194" s="96"/>
      <c r="CV194" s="96"/>
      <c r="CW194" s="96"/>
      <c r="CX194" s="83"/>
      <c r="CY194" s="83"/>
      <c r="CZ194" s="83"/>
      <c r="DA194" s="83"/>
      <c r="DB194" s="96"/>
      <c r="DC194" s="83"/>
      <c r="DD194" s="96"/>
      <c r="DE194" s="102"/>
    </row>
    <row r="195" spans="1:109" x14ac:dyDescent="0.2">
      <c r="A195" s="14"/>
      <c r="B195" s="28"/>
      <c r="C195" s="14"/>
      <c r="D195" s="28"/>
      <c r="E195" s="28"/>
      <c r="F195" s="83"/>
      <c r="G195" s="83"/>
      <c r="H195" s="83"/>
      <c r="I195" s="83"/>
      <c r="J195" s="96"/>
      <c r="K195" s="96"/>
      <c r="L195" s="96"/>
      <c r="M195" s="96"/>
      <c r="N195" s="83"/>
      <c r="O195" s="83"/>
      <c r="P195" s="83"/>
      <c r="Q195" s="83"/>
      <c r="R195" s="96"/>
      <c r="S195" s="96"/>
      <c r="T195" s="96"/>
      <c r="U195" s="96"/>
      <c r="V195" s="83"/>
      <c r="W195" s="83"/>
      <c r="X195" s="83"/>
      <c r="Y195" s="83"/>
      <c r="Z195" s="96"/>
      <c r="AA195" s="96"/>
      <c r="AB195" s="96"/>
      <c r="AC195" s="96"/>
      <c r="AD195" s="83"/>
      <c r="AE195" s="83"/>
      <c r="AF195" s="83"/>
      <c r="AG195" s="83"/>
      <c r="AH195" s="96"/>
      <c r="AI195" s="96"/>
      <c r="AJ195" s="96"/>
      <c r="AK195" s="96"/>
      <c r="AL195" s="83"/>
      <c r="AM195" s="83"/>
      <c r="AN195" s="83"/>
      <c r="AO195" s="83"/>
      <c r="AP195" s="96"/>
      <c r="AQ195" s="96"/>
      <c r="AR195" s="96"/>
      <c r="AS195" s="96"/>
      <c r="AT195" s="83"/>
      <c r="AU195" s="83"/>
      <c r="AV195" s="83"/>
      <c r="AW195" s="83"/>
      <c r="AX195" s="96"/>
      <c r="AY195" s="96"/>
      <c r="AZ195" s="96"/>
      <c r="BA195" s="96"/>
      <c r="BB195" s="83"/>
      <c r="BC195" s="83"/>
      <c r="BD195" s="83"/>
      <c r="BE195" s="83"/>
      <c r="BF195" s="96"/>
      <c r="BG195" s="96"/>
      <c r="BH195" s="96"/>
      <c r="BI195" s="96"/>
      <c r="BJ195" s="83"/>
      <c r="BK195" s="83"/>
      <c r="BL195" s="83"/>
      <c r="BM195" s="83"/>
      <c r="BN195" s="96"/>
      <c r="BO195" s="96"/>
      <c r="BP195" s="96"/>
      <c r="BQ195" s="96"/>
      <c r="BR195" s="83"/>
      <c r="BS195" s="83"/>
      <c r="BT195" s="83"/>
      <c r="BU195" s="83"/>
      <c r="BV195" s="96"/>
      <c r="BW195" s="96"/>
      <c r="BX195" s="96"/>
      <c r="BY195" s="96"/>
      <c r="BZ195" s="83"/>
      <c r="CA195" s="83"/>
      <c r="CB195" s="83"/>
      <c r="CC195" s="83"/>
      <c r="CD195" s="96"/>
      <c r="CE195" s="96"/>
      <c r="CF195" s="96"/>
      <c r="CG195" s="96"/>
      <c r="CH195" s="83"/>
      <c r="CI195" s="83"/>
      <c r="CJ195" s="83"/>
      <c r="CK195" s="83"/>
      <c r="CL195" s="96"/>
      <c r="CM195" s="96"/>
      <c r="CN195" s="96"/>
      <c r="CO195" s="96"/>
      <c r="CP195" s="83"/>
      <c r="CQ195" s="83"/>
      <c r="CR195" s="83"/>
      <c r="CS195" s="83"/>
      <c r="CT195" s="96"/>
      <c r="CU195" s="96"/>
      <c r="CV195" s="96"/>
      <c r="CW195" s="96"/>
      <c r="CX195" s="83"/>
      <c r="CY195" s="83"/>
      <c r="CZ195" s="83"/>
      <c r="DA195" s="83"/>
      <c r="DB195" s="96"/>
      <c r="DC195" s="83"/>
      <c r="DD195" s="96"/>
      <c r="DE195" s="102"/>
    </row>
    <row r="196" spans="1:109" x14ac:dyDescent="0.2">
      <c r="A196" s="14"/>
      <c r="B196" s="28"/>
      <c r="C196" s="14"/>
      <c r="D196" s="28"/>
      <c r="E196" s="28"/>
      <c r="F196" s="83"/>
      <c r="G196" s="83"/>
      <c r="H196" s="83"/>
      <c r="I196" s="83"/>
      <c r="J196" s="96"/>
      <c r="K196" s="96"/>
      <c r="L196" s="96"/>
      <c r="M196" s="96"/>
      <c r="N196" s="83"/>
      <c r="O196" s="83"/>
      <c r="P196" s="83"/>
      <c r="Q196" s="83"/>
      <c r="R196" s="96"/>
      <c r="S196" s="96"/>
      <c r="T196" s="96"/>
      <c r="U196" s="96"/>
      <c r="V196" s="83"/>
      <c r="W196" s="83"/>
      <c r="X196" s="83"/>
      <c r="Y196" s="83"/>
      <c r="Z196" s="96"/>
      <c r="AA196" s="96"/>
      <c r="AB196" s="96"/>
      <c r="AC196" s="96"/>
      <c r="AD196" s="83"/>
      <c r="AE196" s="83"/>
      <c r="AF196" s="83"/>
      <c r="AG196" s="83"/>
      <c r="AH196" s="96"/>
      <c r="AI196" s="96"/>
      <c r="AJ196" s="96"/>
      <c r="AK196" s="96"/>
      <c r="AL196" s="83"/>
      <c r="AM196" s="83"/>
      <c r="AN196" s="83"/>
      <c r="AO196" s="83"/>
      <c r="AP196" s="96"/>
      <c r="AQ196" s="96"/>
      <c r="AR196" s="96"/>
      <c r="AS196" s="96"/>
      <c r="AT196" s="83"/>
      <c r="AU196" s="83"/>
      <c r="AV196" s="83"/>
      <c r="AW196" s="83"/>
      <c r="AX196" s="96"/>
      <c r="AY196" s="96"/>
      <c r="AZ196" s="96"/>
      <c r="BA196" s="96"/>
      <c r="BB196" s="83"/>
      <c r="BC196" s="83"/>
      <c r="BD196" s="83"/>
      <c r="BE196" s="83"/>
      <c r="BF196" s="96"/>
      <c r="BG196" s="96"/>
      <c r="BH196" s="96"/>
      <c r="BI196" s="96"/>
      <c r="BJ196" s="83"/>
      <c r="BK196" s="83"/>
      <c r="BL196" s="83"/>
      <c r="BM196" s="83"/>
      <c r="BN196" s="96"/>
      <c r="BO196" s="96"/>
      <c r="BP196" s="96"/>
      <c r="BQ196" s="96"/>
      <c r="BR196" s="83"/>
      <c r="BS196" s="83"/>
      <c r="BT196" s="83"/>
      <c r="BU196" s="83"/>
      <c r="BV196" s="96"/>
      <c r="BW196" s="96"/>
      <c r="BX196" s="96"/>
      <c r="BY196" s="96"/>
      <c r="BZ196" s="83"/>
      <c r="CA196" s="83"/>
      <c r="CB196" s="83"/>
      <c r="CC196" s="83"/>
      <c r="CD196" s="96"/>
      <c r="CE196" s="96"/>
      <c r="CF196" s="96"/>
      <c r="CG196" s="96"/>
      <c r="CH196" s="83"/>
      <c r="CI196" s="83"/>
      <c r="CJ196" s="83"/>
      <c r="CK196" s="83"/>
      <c r="CL196" s="96"/>
      <c r="CM196" s="96"/>
      <c r="CN196" s="96"/>
      <c r="CO196" s="96"/>
      <c r="CP196" s="83"/>
      <c r="CQ196" s="83"/>
      <c r="CR196" s="83"/>
      <c r="CS196" s="83"/>
      <c r="CT196" s="96"/>
      <c r="CU196" s="96"/>
      <c r="CV196" s="96"/>
      <c r="CW196" s="96"/>
      <c r="CX196" s="83"/>
      <c r="CY196" s="83"/>
      <c r="CZ196" s="83"/>
      <c r="DA196" s="83"/>
      <c r="DB196" s="96"/>
      <c r="DC196" s="83"/>
      <c r="DD196" s="96"/>
      <c r="DE196" s="102"/>
    </row>
    <row r="197" spans="1:109" x14ac:dyDescent="0.2">
      <c r="A197" s="14"/>
      <c r="B197" s="28"/>
      <c r="C197" s="14"/>
      <c r="D197" s="28"/>
      <c r="E197" s="28"/>
      <c r="F197" s="83"/>
      <c r="G197" s="83"/>
      <c r="H197" s="83"/>
      <c r="I197" s="83"/>
      <c r="J197" s="96"/>
      <c r="K197" s="96"/>
      <c r="L197" s="96"/>
      <c r="M197" s="96"/>
      <c r="N197" s="83"/>
      <c r="O197" s="83"/>
      <c r="P197" s="83"/>
      <c r="Q197" s="83"/>
      <c r="R197" s="96"/>
      <c r="S197" s="96"/>
      <c r="T197" s="96"/>
      <c r="U197" s="96"/>
      <c r="V197" s="83"/>
      <c r="W197" s="83"/>
      <c r="X197" s="83"/>
      <c r="Y197" s="83"/>
      <c r="Z197" s="96"/>
      <c r="AA197" s="96"/>
      <c r="AB197" s="96"/>
      <c r="AC197" s="96"/>
      <c r="AD197" s="83"/>
      <c r="AE197" s="83"/>
      <c r="AF197" s="83"/>
      <c r="AG197" s="83"/>
      <c r="AH197" s="96"/>
      <c r="AI197" s="96"/>
      <c r="AJ197" s="96"/>
      <c r="AK197" s="96"/>
      <c r="AL197" s="83"/>
      <c r="AM197" s="83"/>
      <c r="AN197" s="83"/>
      <c r="AO197" s="83"/>
      <c r="AP197" s="96"/>
      <c r="AQ197" s="96"/>
      <c r="AR197" s="96"/>
      <c r="AS197" s="96"/>
      <c r="AT197" s="83"/>
      <c r="AU197" s="83"/>
      <c r="AV197" s="83"/>
      <c r="AW197" s="83"/>
      <c r="AX197" s="96"/>
      <c r="AY197" s="96"/>
      <c r="AZ197" s="96"/>
      <c r="BA197" s="96"/>
      <c r="BB197" s="83"/>
      <c r="BC197" s="83"/>
      <c r="BD197" s="83"/>
      <c r="BE197" s="83"/>
      <c r="BF197" s="96"/>
      <c r="BG197" s="96"/>
      <c r="BH197" s="96"/>
      <c r="BI197" s="96"/>
      <c r="BJ197" s="83"/>
      <c r="BK197" s="83"/>
      <c r="BL197" s="83"/>
      <c r="BM197" s="83"/>
      <c r="BN197" s="96"/>
      <c r="BO197" s="96"/>
      <c r="BP197" s="96"/>
      <c r="BQ197" s="96"/>
      <c r="BR197" s="83"/>
      <c r="BS197" s="83"/>
      <c r="BT197" s="83"/>
      <c r="BU197" s="83"/>
      <c r="BV197" s="96"/>
      <c r="BW197" s="96"/>
      <c r="BX197" s="96"/>
      <c r="BY197" s="96"/>
      <c r="BZ197" s="83"/>
      <c r="CA197" s="83"/>
      <c r="CB197" s="83"/>
      <c r="CC197" s="83"/>
      <c r="CD197" s="96"/>
      <c r="CE197" s="96"/>
      <c r="CF197" s="96"/>
      <c r="CG197" s="96"/>
      <c r="CH197" s="83"/>
      <c r="CI197" s="83"/>
      <c r="CJ197" s="83"/>
      <c r="CK197" s="83"/>
      <c r="CL197" s="96"/>
      <c r="CM197" s="96"/>
      <c r="CN197" s="96"/>
      <c r="CO197" s="96"/>
      <c r="CP197" s="83"/>
      <c r="CQ197" s="83"/>
      <c r="CR197" s="83"/>
      <c r="CS197" s="83"/>
      <c r="CT197" s="96"/>
      <c r="CU197" s="96"/>
      <c r="CV197" s="96"/>
      <c r="CW197" s="96"/>
      <c r="CX197" s="83"/>
      <c r="CY197" s="83"/>
      <c r="CZ197" s="83"/>
      <c r="DA197" s="83"/>
      <c r="DB197" s="96"/>
      <c r="DC197" s="83"/>
      <c r="DD197" s="96"/>
      <c r="DE197" s="102"/>
    </row>
    <row r="198" spans="1:109" x14ac:dyDescent="0.2">
      <c r="A198" s="14"/>
      <c r="B198" s="28"/>
      <c r="C198" s="14"/>
      <c r="D198" s="28"/>
      <c r="E198" s="28"/>
      <c r="F198" s="83"/>
      <c r="G198" s="83"/>
      <c r="H198" s="83"/>
      <c r="I198" s="83"/>
      <c r="J198" s="96"/>
      <c r="K198" s="96"/>
      <c r="L198" s="96"/>
      <c r="M198" s="96"/>
      <c r="N198" s="83"/>
      <c r="O198" s="83"/>
      <c r="P198" s="83"/>
      <c r="Q198" s="83"/>
      <c r="R198" s="96"/>
      <c r="S198" s="96"/>
      <c r="T198" s="96"/>
      <c r="U198" s="96"/>
      <c r="V198" s="83"/>
      <c r="W198" s="83"/>
      <c r="X198" s="83"/>
      <c r="Y198" s="83"/>
      <c r="Z198" s="96"/>
      <c r="AA198" s="96"/>
      <c r="AB198" s="96"/>
      <c r="AC198" s="96"/>
      <c r="AD198" s="83"/>
      <c r="AE198" s="83"/>
      <c r="AF198" s="83"/>
      <c r="AG198" s="83"/>
      <c r="AH198" s="96"/>
      <c r="AI198" s="96"/>
      <c r="AJ198" s="96"/>
      <c r="AK198" s="96"/>
      <c r="AL198" s="83"/>
      <c r="AM198" s="83"/>
      <c r="AN198" s="83"/>
      <c r="AO198" s="83"/>
      <c r="AP198" s="96"/>
      <c r="AQ198" s="96"/>
      <c r="AR198" s="96"/>
      <c r="AS198" s="96"/>
      <c r="AT198" s="83"/>
      <c r="AU198" s="83"/>
      <c r="AV198" s="83"/>
      <c r="AW198" s="83"/>
      <c r="AX198" s="96"/>
      <c r="AY198" s="96"/>
      <c r="AZ198" s="96"/>
      <c r="BA198" s="96"/>
      <c r="BB198" s="83"/>
      <c r="BC198" s="83"/>
      <c r="BD198" s="83"/>
      <c r="BE198" s="83"/>
      <c r="BF198" s="96"/>
      <c r="BG198" s="96"/>
      <c r="BH198" s="96"/>
      <c r="BI198" s="96"/>
      <c r="BJ198" s="83"/>
      <c r="BK198" s="83"/>
      <c r="BL198" s="83"/>
      <c r="BM198" s="83"/>
      <c r="BN198" s="96"/>
      <c r="BO198" s="96"/>
      <c r="BP198" s="96"/>
      <c r="BQ198" s="96"/>
      <c r="BR198" s="83"/>
      <c r="BS198" s="83"/>
      <c r="BT198" s="83"/>
      <c r="BU198" s="83"/>
      <c r="BV198" s="96"/>
      <c r="BW198" s="96"/>
      <c r="BX198" s="96"/>
      <c r="BY198" s="96"/>
      <c r="BZ198" s="83"/>
      <c r="CA198" s="83"/>
      <c r="CB198" s="83"/>
      <c r="CC198" s="83"/>
      <c r="CD198" s="96"/>
      <c r="CE198" s="96"/>
      <c r="CF198" s="96"/>
      <c r="CG198" s="96"/>
      <c r="CH198" s="83"/>
      <c r="CI198" s="83"/>
      <c r="CJ198" s="83"/>
      <c r="CK198" s="83"/>
      <c r="CL198" s="96"/>
      <c r="CM198" s="96"/>
      <c r="CN198" s="96"/>
      <c r="CO198" s="96"/>
      <c r="CP198" s="83"/>
      <c r="CQ198" s="83"/>
      <c r="CR198" s="83"/>
      <c r="CS198" s="83"/>
      <c r="CT198" s="96"/>
      <c r="CU198" s="96"/>
      <c r="CV198" s="96"/>
      <c r="CW198" s="96"/>
      <c r="CX198" s="83"/>
      <c r="CY198" s="83"/>
      <c r="CZ198" s="83"/>
      <c r="DA198" s="83"/>
      <c r="DB198" s="96"/>
      <c r="DC198" s="83"/>
      <c r="DD198" s="96"/>
      <c r="DE198" s="102"/>
    </row>
    <row r="199" spans="1:109" x14ac:dyDescent="0.2">
      <c r="A199" s="14"/>
      <c r="B199" s="28"/>
      <c r="C199" s="14"/>
      <c r="D199" s="28"/>
      <c r="E199" s="28"/>
      <c r="F199" s="83"/>
      <c r="G199" s="83"/>
      <c r="H199" s="83"/>
      <c r="I199" s="83"/>
      <c r="J199" s="96"/>
      <c r="K199" s="96"/>
      <c r="L199" s="96"/>
      <c r="M199" s="96"/>
      <c r="N199" s="83"/>
      <c r="O199" s="83"/>
      <c r="P199" s="83"/>
      <c r="Q199" s="83"/>
      <c r="R199" s="96"/>
      <c r="S199" s="96"/>
      <c r="T199" s="96"/>
      <c r="U199" s="96"/>
      <c r="V199" s="83"/>
      <c r="W199" s="83"/>
      <c r="X199" s="83"/>
      <c r="Y199" s="83"/>
      <c r="Z199" s="96"/>
      <c r="AA199" s="96"/>
      <c r="AB199" s="96"/>
      <c r="AC199" s="96"/>
      <c r="AD199" s="83"/>
      <c r="AE199" s="83"/>
      <c r="AF199" s="83"/>
      <c r="AG199" s="83"/>
      <c r="AH199" s="96"/>
      <c r="AI199" s="96"/>
      <c r="AJ199" s="96"/>
      <c r="AK199" s="96"/>
      <c r="AL199" s="83"/>
      <c r="AM199" s="83"/>
      <c r="AN199" s="83"/>
      <c r="AO199" s="83"/>
      <c r="AP199" s="96"/>
      <c r="AQ199" s="96"/>
      <c r="AR199" s="96"/>
      <c r="AS199" s="96"/>
      <c r="AT199" s="83"/>
      <c r="AU199" s="83"/>
      <c r="AV199" s="83"/>
      <c r="AW199" s="83"/>
      <c r="AX199" s="96"/>
      <c r="AY199" s="96"/>
      <c r="AZ199" s="96"/>
      <c r="BA199" s="96"/>
      <c r="BB199" s="83"/>
      <c r="BC199" s="83"/>
      <c r="BD199" s="83"/>
      <c r="BE199" s="83"/>
      <c r="BF199" s="96"/>
      <c r="BG199" s="96"/>
      <c r="BH199" s="96"/>
      <c r="BI199" s="96"/>
      <c r="BJ199" s="83"/>
      <c r="BK199" s="83"/>
      <c r="BL199" s="83"/>
      <c r="BM199" s="83"/>
      <c r="BN199" s="96"/>
      <c r="BO199" s="96"/>
      <c r="BP199" s="96"/>
      <c r="BQ199" s="96"/>
      <c r="BR199" s="83"/>
      <c r="BS199" s="83"/>
      <c r="BT199" s="83"/>
      <c r="BU199" s="83"/>
      <c r="BV199" s="96"/>
      <c r="BW199" s="96"/>
      <c r="BX199" s="96"/>
      <c r="BY199" s="96"/>
      <c r="BZ199" s="83"/>
      <c r="CA199" s="83"/>
      <c r="CB199" s="83"/>
      <c r="CC199" s="83"/>
      <c r="CD199" s="96"/>
      <c r="CE199" s="96"/>
      <c r="CF199" s="96"/>
      <c r="CG199" s="96"/>
      <c r="CH199" s="83"/>
      <c r="CI199" s="83"/>
      <c r="CJ199" s="83"/>
      <c r="CK199" s="83"/>
      <c r="CL199" s="96"/>
      <c r="CM199" s="96"/>
      <c r="CN199" s="96"/>
      <c r="CO199" s="96"/>
      <c r="CP199" s="83"/>
      <c r="CQ199" s="83"/>
      <c r="CR199" s="83"/>
      <c r="CS199" s="83"/>
      <c r="CT199" s="96"/>
      <c r="CU199" s="96"/>
      <c r="CV199" s="96"/>
      <c r="CW199" s="96"/>
      <c r="CX199" s="83"/>
      <c r="CY199" s="83"/>
      <c r="CZ199" s="83"/>
      <c r="DA199" s="83"/>
      <c r="DB199" s="96"/>
      <c r="DC199" s="83"/>
      <c r="DD199" s="96"/>
      <c r="DE199" s="102"/>
    </row>
    <row r="200" spans="1:109" x14ac:dyDescent="0.2">
      <c r="A200" s="14"/>
      <c r="B200" s="28"/>
      <c r="C200" s="14"/>
      <c r="D200" s="28"/>
      <c r="E200" s="28"/>
      <c r="F200" s="83"/>
      <c r="G200" s="83"/>
      <c r="H200" s="83"/>
      <c r="I200" s="83"/>
      <c r="J200" s="96"/>
      <c r="K200" s="96"/>
      <c r="L200" s="96"/>
      <c r="M200" s="96"/>
      <c r="N200" s="83"/>
      <c r="O200" s="83"/>
      <c r="P200" s="83"/>
      <c r="Q200" s="83"/>
      <c r="R200" s="96"/>
      <c r="S200" s="96"/>
      <c r="T200" s="96"/>
      <c r="U200" s="96"/>
      <c r="V200" s="83"/>
      <c r="W200" s="83"/>
      <c r="X200" s="83"/>
      <c r="Y200" s="83"/>
      <c r="Z200" s="96"/>
      <c r="AA200" s="96"/>
      <c r="AB200" s="96"/>
      <c r="AC200" s="96"/>
      <c r="AD200" s="83"/>
      <c r="AE200" s="83"/>
      <c r="AF200" s="83"/>
      <c r="AG200" s="83"/>
      <c r="AH200" s="96"/>
      <c r="AI200" s="96"/>
      <c r="AJ200" s="96"/>
      <c r="AK200" s="96"/>
      <c r="AL200" s="83"/>
      <c r="AM200" s="83"/>
      <c r="AN200" s="83"/>
      <c r="AO200" s="83"/>
      <c r="AP200" s="96"/>
      <c r="AQ200" s="96"/>
      <c r="AR200" s="96"/>
      <c r="AS200" s="96"/>
      <c r="AT200" s="83"/>
      <c r="AU200" s="83"/>
      <c r="AV200" s="83"/>
      <c r="AW200" s="83"/>
      <c r="AX200" s="96"/>
      <c r="AY200" s="96"/>
      <c r="AZ200" s="96"/>
      <c r="BA200" s="96"/>
      <c r="BB200" s="83"/>
      <c r="BC200" s="83"/>
      <c r="BD200" s="83"/>
      <c r="BE200" s="83"/>
      <c r="BF200" s="96"/>
      <c r="BG200" s="96"/>
      <c r="BH200" s="96"/>
      <c r="BI200" s="96"/>
      <c r="BJ200" s="83"/>
      <c r="BK200" s="83"/>
      <c r="BL200" s="83"/>
      <c r="BM200" s="83"/>
      <c r="BN200" s="96"/>
      <c r="BO200" s="96"/>
      <c r="BP200" s="96"/>
      <c r="BQ200" s="96"/>
      <c r="BR200" s="83"/>
      <c r="BS200" s="83"/>
      <c r="BT200" s="83"/>
      <c r="BU200" s="83"/>
      <c r="BV200" s="96"/>
      <c r="BW200" s="96"/>
      <c r="BX200" s="96"/>
      <c r="BY200" s="96"/>
      <c r="BZ200" s="83"/>
      <c r="CA200" s="83"/>
      <c r="CB200" s="83"/>
      <c r="CC200" s="83"/>
      <c r="CD200" s="96"/>
      <c r="CE200" s="96"/>
      <c r="CF200" s="96"/>
      <c r="CG200" s="96"/>
      <c r="CH200" s="83"/>
      <c r="CI200" s="83"/>
      <c r="CJ200" s="83"/>
      <c r="CK200" s="83"/>
      <c r="CL200" s="96"/>
      <c r="CM200" s="96"/>
      <c r="CN200" s="96"/>
      <c r="CO200" s="96"/>
      <c r="CP200" s="83"/>
      <c r="CQ200" s="83"/>
      <c r="CR200" s="83"/>
      <c r="CS200" s="83"/>
      <c r="CT200" s="96"/>
      <c r="CU200" s="96"/>
      <c r="CV200" s="96"/>
      <c r="CW200" s="96"/>
      <c r="CX200" s="83"/>
      <c r="CY200" s="83"/>
      <c r="CZ200" s="83"/>
      <c r="DA200" s="83"/>
      <c r="DB200" s="96"/>
      <c r="DC200" s="83"/>
      <c r="DD200" s="96"/>
      <c r="DE200" s="102"/>
    </row>
    <row r="201" spans="1:109" x14ac:dyDescent="0.2">
      <c r="A201" s="14"/>
      <c r="B201" s="28"/>
      <c r="C201" s="14"/>
      <c r="D201" s="28"/>
      <c r="E201" s="28"/>
      <c r="F201" s="83"/>
      <c r="G201" s="83"/>
      <c r="H201" s="83"/>
      <c r="I201" s="83"/>
      <c r="J201" s="96"/>
      <c r="K201" s="96"/>
      <c r="L201" s="96"/>
      <c r="M201" s="96"/>
      <c r="N201" s="83"/>
      <c r="O201" s="83"/>
      <c r="P201" s="83"/>
      <c r="Q201" s="83"/>
      <c r="R201" s="96"/>
      <c r="S201" s="96"/>
      <c r="T201" s="96"/>
      <c r="U201" s="96"/>
      <c r="V201" s="83"/>
      <c r="W201" s="83"/>
      <c r="X201" s="83"/>
      <c r="Y201" s="83"/>
      <c r="Z201" s="96"/>
      <c r="AA201" s="96"/>
      <c r="AB201" s="96"/>
      <c r="AC201" s="96"/>
      <c r="AD201" s="83"/>
      <c r="AE201" s="83"/>
      <c r="AF201" s="83"/>
      <c r="AG201" s="83"/>
      <c r="AH201" s="96"/>
      <c r="AI201" s="96"/>
      <c r="AJ201" s="96"/>
      <c r="AK201" s="96"/>
      <c r="AL201" s="83"/>
      <c r="AM201" s="83"/>
      <c r="AN201" s="83"/>
      <c r="AO201" s="83"/>
      <c r="AP201" s="96"/>
      <c r="AQ201" s="96"/>
      <c r="AR201" s="96"/>
      <c r="AS201" s="96"/>
      <c r="AT201" s="83"/>
      <c r="AU201" s="83"/>
      <c r="AV201" s="83"/>
      <c r="AW201" s="83"/>
      <c r="AX201" s="96"/>
      <c r="AY201" s="96"/>
      <c r="AZ201" s="96"/>
      <c r="BA201" s="96"/>
      <c r="BB201" s="83"/>
      <c r="BC201" s="83"/>
      <c r="BD201" s="83"/>
      <c r="BE201" s="83"/>
      <c r="BF201" s="96"/>
      <c r="BG201" s="96"/>
      <c r="BH201" s="96"/>
      <c r="BI201" s="96"/>
      <c r="BJ201" s="83"/>
      <c r="BK201" s="83"/>
      <c r="BL201" s="83"/>
      <c r="BM201" s="83"/>
      <c r="BN201" s="96"/>
      <c r="BO201" s="96"/>
      <c r="BP201" s="96"/>
      <c r="BQ201" s="96"/>
      <c r="BR201" s="83"/>
      <c r="BS201" s="83"/>
      <c r="BT201" s="83"/>
      <c r="BU201" s="83"/>
      <c r="BV201" s="96"/>
      <c r="BW201" s="96"/>
      <c r="BX201" s="96"/>
      <c r="BY201" s="96"/>
      <c r="BZ201" s="83"/>
      <c r="CA201" s="83"/>
      <c r="CB201" s="83"/>
      <c r="CC201" s="83"/>
      <c r="CD201" s="96"/>
      <c r="CE201" s="96"/>
      <c r="CF201" s="96"/>
      <c r="CG201" s="96"/>
      <c r="CH201" s="83"/>
      <c r="CI201" s="83"/>
      <c r="CJ201" s="83"/>
      <c r="CK201" s="83"/>
      <c r="CL201" s="96"/>
      <c r="CM201" s="96"/>
      <c r="CN201" s="96"/>
      <c r="CO201" s="96"/>
      <c r="CP201" s="83"/>
      <c r="CQ201" s="83"/>
      <c r="CR201" s="83"/>
      <c r="CS201" s="83"/>
      <c r="CT201" s="96"/>
      <c r="CU201" s="96"/>
      <c r="CV201" s="96"/>
      <c r="CW201" s="96"/>
      <c r="CX201" s="83"/>
      <c r="CY201" s="83"/>
      <c r="CZ201" s="83"/>
      <c r="DA201" s="83"/>
      <c r="DB201" s="96"/>
      <c r="DC201" s="83"/>
      <c r="DD201" s="96"/>
      <c r="DE201" s="102"/>
    </row>
    <row r="202" spans="1:109" x14ac:dyDescent="0.2">
      <c r="A202" s="14"/>
      <c r="B202" s="28"/>
      <c r="C202" s="14"/>
      <c r="D202" s="28"/>
      <c r="E202" s="28"/>
      <c r="F202" s="83"/>
      <c r="G202" s="83"/>
      <c r="H202" s="83"/>
      <c r="I202" s="83"/>
      <c r="J202" s="96"/>
      <c r="K202" s="96"/>
      <c r="L202" s="96"/>
      <c r="M202" s="96"/>
      <c r="N202" s="83"/>
      <c r="O202" s="83"/>
      <c r="P202" s="83"/>
      <c r="Q202" s="83"/>
      <c r="R202" s="96"/>
      <c r="S202" s="96"/>
      <c r="T202" s="96"/>
      <c r="U202" s="96"/>
      <c r="V202" s="83"/>
      <c r="W202" s="83"/>
      <c r="X202" s="83"/>
      <c r="Y202" s="83"/>
      <c r="Z202" s="96"/>
      <c r="AA202" s="96"/>
      <c r="AB202" s="96"/>
      <c r="AC202" s="96"/>
      <c r="AD202" s="83"/>
      <c r="AE202" s="83"/>
      <c r="AF202" s="83"/>
      <c r="AG202" s="83"/>
      <c r="AH202" s="96"/>
      <c r="AI202" s="96"/>
      <c r="AJ202" s="96"/>
      <c r="AK202" s="96"/>
      <c r="AL202" s="83"/>
      <c r="AM202" s="83"/>
      <c r="AN202" s="83"/>
      <c r="AO202" s="83"/>
      <c r="AP202" s="96"/>
      <c r="AQ202" s="96"/>
      <c r="AR202" s="96"/>
      <c r="AS202" s="96"/>
      <c r="AT202" s="83"/>
      <c r="AU202" s="83"/>
      <c r="AV202" s="83"/>
      <c r="AW202" s="83"/>
      <c r="AX202" s="96"/>
      <c r="AY202" s="96"/>
      <c r="AZ202" s="96"/>
      <c r="BA202" s="96"/>
      <c r="BB202" s="83"/>
      <c r="BC202" s="83"/>
      <c r="BD202" s="83"/>
      <c r="BE202" s="83"/>
      <c r="BF202" s="96"/>
      <c r="BG202" s="96"/>
      <c r="BH202" s="96"/>
      <c r="BI202" s="96"/>
      <c r="BJ202" s="83"/>
      <c r="BK202" s="83"/>
      <c r="BL202" s="83"/>
      <c r="BM202" s="83"/>
      <c r="BN202" s="96"/>
      <c r="BO202" s="96"/>
      <c r="BP202" s="96"/>
      <c r="BQ202" s="96"/>
      <c r="BR202" s="83"/>
      <c r="BS202" s="83"/>
      <c r="BT202" s="83"/>
      <c r="BU202" s="83"/>
      <c r="BV202" s="96"/>
      <c r="BW202" s="96"/>
      <c r="BX202" s="96"/>
      <c r="BY202" s="96"/>
      <c r="BZ202" s="83"/>
      <c r="CA202" s="83"/>
      <c r="CB202" s="83"/>
      <c r="CC202" s="83"/>
      <c r="CD202" s="96"/>
      <c r="CE202" s="96"/>
      <c r="CF202" s="96"/>
      <c r="CG202" s="96"/>
      <c r="CH202" s="83"/>
      <c r="CI202" s="83"/>
      <c r="CJ202" s="83"/>
      <c r="CK202" s="83"/>
      <c r="CL202" s="96"/>
      <c r="CM202" s="96"/>
      <c r="CN202" s="96"/>
      <c r="CO202" s="96"/>
      <c r="CP202" s="83"/>
      <c r="CQ202" s="83"/>
      <c r="CR202" s="83"/>
      <c r="CS202" s="83"/>
      <c r="CT202" s="96"/>
      <c r="CU202" s="96"/>
      <c r="CV202" s="96"/>
      <c r="CW202" s="96"/>
      <c r="CX202" s="83"/>
      <c r="CY202" s="83"/>
      <c r="CZ202" s="83"/>
      <c r="DA202" s="83"/>
      <c r="DB202" s="96"/>
      <c r="DC202" s="83"/>
      <c r="DD202" s="96"/>
      <c r="DE202" s="102"/>
    </row>
    <row r="203" spans="1:109" x14ac:dyDescent="0.2">
      <c r="A203" s="14"/>
      <c r="B203" s="28"/>
      <c r="C203" s="14"/>
      <c r="D203" s="28"/>
      <c r="E203" s="28"/>
      <c r="F203" s="83"/>
      <c r="G203" s="83"/>
      <c r="H203" s="83"/>
      <c r="I203" s="83"/>
      <c r="J203" s="96"/>
      <c r="K203" s="96"/>
      <c r="L203" s="96"/>
      <c r="M203" s="96"/>
      <c r="N203" s="83"/>
      <c r="O203" s="83"/>
      <c r="P203" s="83"/>
      <c r="Q203" s="83"/>
      <c r="R203" s="96"/>
      <c r="S203" s="96"/>
      <c r="T203" s="96"/>
      <c r="U203" s="96"/>
      <c r="V203" s="83"/>
      <c r="W203" s="83"/>
      <c r="X203" s="83"/>
      <c r="Y203" s="83"/>
      <c r="Z203" s="96"/>
      <c r="AA203" s="96"/>
      <c r="AB203" s="96"/>
      <c r="AC203" s="96"/>
      <c r="AD203" s="83"/>
      <c r="AE203" s="83"/>
      <c r="AF203" s="83"/>
      <c r="AG203" s="83"/>
      <c r="AH203" s="96"/>
      <c r="AI203" s="96"/>
      <c r="AJ203" s="96"/>
      <c r="AK203" s="96"/>
      <c r="AL203" s="83"/>
      <c r="AM203" s="83"/>
      <c r="AN203" s="83"/>
      <c r="AO203" s="83"/>
      <c r="AP203" s="96"/>
      <c r="AQ203" s="96"/>
      <c r="AR203" s="96"/>
      <c r="AS203" s="96"/>
      <c r="AT203" s="83"/>
      <c r="AU203" s="83"/>
      <c r="AV203" s="83"/>
      <c r="AW203" s="83"/>
      <c r="AX203" s="96"/>
      <c r="AY203" s="96"/>
      <c r="AZ203" s="96"/>
      <c r="BA203" s="96"/>
      <c r="BB203" s="83"/>
      <c r="BC203" s="83"/>
      <c r="BD203" s="83"/>
      <c r="BE203" s="83"/>
      <c r="BF203" s="96"/>
      <c r="BG203" s="96"/>
      <c r="BH203" s="96"/>
      <c r="BI203" s="96"/>
      <c r="BJ203" s="83"/>
      <c r="BK203" s="83"/>
      <c r="BL203" s="83"/>
      <c r="BM203" s="83"/>
      <c r="BN203" s="96"/>
      <c r="BO203" s="96"/>
      <c r="BP203" s="96"/>
      <c r="BQ203" s="96"/>
      <c r="BR203" s="83"/>
      <c r="BS203" s="83"/>
      <c r="BT203" s="83"/>
      <c r="BU203" s="83"/>
      <c r="BV203" s="96"/>
      <c r="BW203" s="96"/>
      <c r="BX203" s="96"/>
      <c r="BY203" s="96"/>
      <c r="BZ203" s="83"/>
      <c r="CA203" s="83"/>
      <c r="CB203" s="83"/>
      <c r="CC203" s="83"/>
      <c r="CD203" s="96"/>
      <c r="CE203" s="96"/>
      <c r="CF203" s="96"/>
      <c r="CG203" s="96"/>
      <c r="CH203" s="83"/>
      <c r="CI203" s="83"/>
      <c r="CJ203" s="83"/>
      <c r="CK203" s="83"/>
      <c r="CL203" s="96"/>
      <c r="CM203" s="96"/>
      <c r="CN203" s="96"/>
      <c r="CO203" s="96"/>
      <c r="CP203" s="83"/>
      <c r="CQ203" s="83"/>
      <c r="CR203" s="83"/>
      <c r="CS203" s="83"/>
      <c r="CT203" s="96"/>
      <c r="CU203" s="96"/>
      <c r="CV203" s="96"/>
      <c r="CW203" s="96"/>
      <c r="CX203" s="83"/>
      <c r="CY203" s="83"/>
      <c r="CZ203" s="83"/>
      <c r="DA203" s="83"/>
      <c r="DB203" s="96"/>
      <c r="DC203" s="83"/>
      <c r="DD203" s="96"/>
      <c r="DE203" s="102"/>
    </row>
    <row r="204" spans="1:109" x14ac:dyDescent="0.2">
      <c r="A204" s="14"/>
      <c r="B204" s="28"/>
      <c r="C204" s="14"/>
      <c r="D204" s="28"/>
      <c r="E204" s="28"/>
      <c r="F204" s="83"/>
      <c r="G204" s="83"/>
      <c r="H204" s="83"/>
      <c r="I204" s="83"/>
      <c r="J204" s="96"/>
      <c r="K204" s="96"/>
      <c r="L204" s="96"/>
      <c r="M204" s="96"/>
      <c r="N204" s="83"/>
      <c r="O204" s="83"/>
      <c r="P204" s="83"/>
      <c r="Q204" s="83"/>
      <c r="R204" s="96"/>
      <c r="S204" s="96"/>
      <c r="T204" s="96"/>
      <c r="U204" s="96"/>
      <c r="V204" s="83"/>
      <c r="W204" s="83"/>
      <c r="X204" s="83"/>
      <c r="Y204" s="83"/>
      <c r="Z204" s="96"/>
      <c r="AA204" s="96"/>
      <c r="AB204" s="96"/>
      <c r="AC204" s="96"/>
      <c r="AD204" s="83"/>
      <c r="AE204" s="83"/>
      <c r="AF204" s="83"/>
      <c r="AG204" s="83"/>
      <c r="AH204" s="96"/>
      <c r="AI204" s="96"/>
      <c r="AJ204" s="96"/>
      <c r="AK204" s="96"/>
      <c r="AL204" s="83"/>
      <c r="AM204" s="83"/>
      <c r="AN204" s="83"/>
      <c r="AO204" s="83"/>
      <c r="AP204" s="96"/>
      <c r="AQ204" s="96"/>
      <c r="AR204" s="96"/>
      <c r="AS204" s="96"/>
      <c r="AT204" s="83"/>
      <c r="AU204" s="83"/>
      <c r="AV204" s="83"/>
      <c r="AW204" s="83"/>
      <c r="AX204" s="96"/>
      <c r="AY204" s="96"/>
      <c r="AZ204" s="96"/>
      <c r="BA204" s="96"/>
      <c r="BB204" s="83"/>
      <c r="BC204" s="83"/>
      <c r="BD204" s="83"/>
      <c r="BE204" s="83"/>
      <c r="BF204" s="96"/>
      <c r="BG204" s="96"/>
      <c r="BH204" s="96"/>
      <c r="BI204" s="96"/>
      <c r="BJ204" s="83"/>
      <c r="BK204" s="83"/>
      <c r="BL204" s="83"/>
      <c r="BM204" s="83"/>
      <c r="BN204" s="96"/>
      <c r="BO204" s="96"/>
      <c r="BP204" s="96"/>
      <c r="BQ204" s="96"/>
      <c r="BR204" s="83"/>
      <c r="BS204" s="83"/>
      <c r="BT204" s="83"/>
      <c r="BU204" s="83"/>
      <c r="BV204" s="96"/>
      <c r="BW204" s="96"/>
      <c r="BX204" s="96"/>
      <c r="BY204" s="96"/>
      <c r="BZ204" s="83"/>
      <c r="CA204" s="83"/>
      <c r="CB204" s="83"/>
      <c r="CC204" s="83"/>
      <c r="CD204" s="96"/>
      <c r="CE204" s="96"/>
      <c r="CF204" s="96"/>
      <c r="CG204" s="96"/>
      <c r="CH204" s="83"/>
      <c r="CI204" s="83"/>
      <c r="CJ204" s="83"/>
      <c r="CK204" s="83"/>
      <c r="CL204" s="96"/>
      <c r="CM204" s="96"/>
      <c r="CN204" s="96"/>
      <c r="CO204" s="96"/>
      <c r="CP204" s="83"/>
      <c r="CQ204" s="83"/>
      <c r="CR204" s="83"/>
      <c r="CS204" s="83"/>
      <c r="CT204" s="96"/>
      <c r="CU204" s="96"/>
      <c r="CV204" s="96"/>
      <c r="CW204" s="96"/>
      <c r="CX204" s="83"/>
      <c r="CY204" s="83"/>
      <c r="CZ204" s="83"/>
      <c r="DA204" s="83"/>
      <c r="DB204" s="96"/>
      <c r="DC204" s="83"/>
      <c r="DD204" s="96"/>
      <c r="DE204" s="102"/>
    </row>
    <row r="205" spans="1:109" x14ac:dyDescent="0.2">
      <c r="A205" s="14"/>
      <c r="B205" s="28"/>
      <c r="C205" s="14"/>
      <c r="D205" s="28"/>
      <c r="E205" s="28"/>
      <c r="F205" s="83"/>
      <c r="G205" s="83"/>
      <c r="H205" s="83"/>
      <c r="I205" s="83"/>
      <c r="J205" s="96"/>
      <c r="K205" s="96"/>
      <c r="L205" s="96"/>
      <c r="M205" s="96"/>
      <c r="N205" s="83"/>
      <c r="O205" s="83"/>
      <c r="P205" s="83"/>
      <c r="Q205" s="83"/>
      <c r="R205" s="96"/>
      <c r="S205" s="96"/>
      <c r="T205" s="96"/>
      <c r="U205" s="96"/>
      <c r="V205" s="83"/>
      <c r="W205" s="83"/>
      <c r="X205" s="83"/>
      <c r="Y205" s="83"/>
      <c r="Z205" s="96"/>
      <c r="AA205" s="96"/>
      <c r="AB205" s="96"/>
      <c r="AC205" s="96"/>
      <c r="AD205" s="83"/>
      <c r="AE205" s="83"/>
      <c r="AF205" s="83"/>
      <c r="AG205" s="83"/>
      <c r="AH205" s="96"/>
      <c r="AI205" s="96"/>
      <c r="AJ205" s="96"/>
      <c r="AK205" s="96"/>
      <c r="AL205" s="83"/>
      <c r="AM205" s="83"/>
      <c r="AN205" s="83"/>
      <c r="AO205" s="83"/>
      <c r="AP205" s="96"/>
      <c r="AQ205" s="96"/>
      <c r="AR205" s="96"/>
      <c r="AS205" s="96"/>
      <c r="AT205" s="83"/>
      <c r="AU205" s="83"/>
      <c r="AV205" s="83"/>
      <c r="AW205" s="83"/>
      <c r="AX205" s="96"/>
      <c r="AY205" s="96"/>
      <c r="AZ205" s="96"/>
      <c r="BA205" s="96"/>
      <c r="BB205" s="83"/>
      <c r="BC205" s="83"/>
      <c r="BD205" s="83"/>
      <c r="BE205" s="83"/>
      <c r="BF205" s="96"/>
      <c r="BG205" s="96"/>
      <c r="BH205" s="96"/>
      <c r="BI205" s="96"/>
      <c r="BJ205" s="83"/>
      <c r="BK205" s="83"/>
      <c r="BL205" s="83"/>
      <c r="BM205" s="83"/>
      <c r="BN205" s="96"/>
      <c r="BO205" s="96"/>
      <c r="BP205" s="96"/>
      <c r="BQ205" s="96"/>
      <c r="BR205" s="83"/>
      <c r="BS205" s="83"/>
      <c r="BT205" s="83"/>
      <c r="BU205" s="83"/>
      <c r="BV205" s="96"/>
      <c r="BW205" s="96"/>
      <c r="BX205" s="96"/>
      <c r="BY205" s="96"/>
      <c r="BZ205" s="83"/>
      <c r="CA205" s="83"/>
      <c r="CB205" s="83"/>
      <c r="CC205" s="83"/>
      <c r="CD205" s="96"/>
      <c r="CE205" s="96"/>
      <c r="CF205" s="96"/>
      <c r="CG205" s="96"/>
      <c r="CH205" s="83"/>
      <c r="CI205" s="83"/>
      <c r="CJ205" s="83"/>
      <c r="CK205" s="83"/>
      <c r="CL205" s="96"/>
      <c r="CM205" s="96"/>
      <c r="CN205" s="96"/>
      <c r="CO205" s="96"/>
      <c r="CP205" s="83"/>
      <c r="CQ205" s="83"/>
      <c r="CR205" s="83"/>
      <c r="CS205" s="83"/>
      <c r="CT205" s="96"/>
      <c r="CU205" s="96"/>
      <c r="CV205" s="96"/>
      <c r="CW205" s="96"/>
      <c r="CX205" s="83"/>
      <c r="CY205" s="83"/>
      <c r="CZ205" s="83"/>
      <c r="DA205" s="83"/>
      <c r="DB205" s="96"/>
      <c r="DC205" s="83"/>
      <c r="DD205" s="96"/>
      <c r="DE205" s="102"/>
    </row>
    <row r="206" spans="1:109" x14ac:dyDescent="0.2">
      <c r="A206" s="14"/>
      <c r="B206" s="28"/>
      <c r="C206" s="14"/>
      <c r="D206" s="28"/>
      <c r="E206" s="28"/>
      <c r="F206" s="83"/>
      <c r="G206" s="83"/>
      <c r="H206" s="83"/>
      <c r="I206" s="83"/>
      <c r="J206" s="96"/>
      <c r="K206" s="96"/>
      <c r="L206" s="96"/>
      <c r="M206" s="96"/>
      <c r="N206" s="83"/>
      <c r="O206" s="83"/>
      <c r="P206" s="83"/>
      <c r="Q206" s="83"/>
      <c r="R206" s="96"/>
      <c r="S206" s="96"/>
      <c r="T206" s="96"/>
      <c r="U206" s="96"/>
      <c r="V206" s="83"/>
      <c r="W206" s="83"/>
      <c r="X206" s="83"/>
      <c r="Y206" s="83"/>
      <c r="Z206" s="96"/>
      <c r="AA206" s="96"/>
      <c r="AB206" s="96"/>
      <c r="AC206" s="96"/>
      <c r="AD206" s="83"/>
      <c r="AE206" s="83"/>
      <c r="AF206" s="83"/>
      <c r="AG206" s="83"/>
      <c r="AH206" s="96"/>
      <c r="AI206" s="96"/>
      <c r="AJ206" s="96"/>
      <c r="AK206" s="96"/>
      <c r="AL206" s="83"/>
      <c r="AM206" s="83"/>
      <c r="AN206" s="83"/>
      <c r="AO206" s="83"/>
      <c r="AP206" s="96"/>
      <c r="AQ206" s="96"/>
      <c r="AR206" s="96"/>
      <c r="AS206" s="96"/>
      <c r="AT206" s="83"/>
      <c r="AU206" s="83"/>
      <c r="AV206" s="83"/>
      <c r="AW206" s="83"/>
      <c r="AX206" s="96"/>
      <c r="AY206" s="96"/>
      <c r="AZ206" s="96"/>
      <c r="BA206" s="96"/>
      <c r="BB206" s="83"/>
      <c r="BC206" s="83"/>
      <c r="BD206" s="83"/>
      <c r="BE206" s="83"/>
      <c r="BF206" s="96"/>
      <c r="BG206" s="96"/>
      <c r="BH206" s="96"/>
      <c r="BI206" s="96"/>
      <c r="BJ206" s="83"/>
      <c r="BK206" s="83"/>
      <c r="BL206" s="83"/>
      <c r="BM206" s="83"/>
      <c r="BN206" s="96"/>
      <c r="BO206" s="96"/>
      <c r="BP206" s="96"/>
      <c r="BQ206" s="96"/>
      <c r="BR206" s="83"/>
      <c r="BS206" s="83"/>
      <c r="BT206" s="83"/>
      <c r="BU206" s="83"/>
      <c r="BV206" s="96"/>
      <c r="BW206" s="96"/>
      <c r="BX206" s="96"/>
      <c r="BY206" s="96"/>
      <c r="BZ206" s="83"/>
      <c r="CA206" s="83"/>
      <c r="CB206" s="83"/>
      <c r="CC206" s="83"/>
      <c r="CD206" s="96"/>
      <c r="CE206" s="96"/>
      <c r="CF206" s="96"/>
      <c r="CG206" s="96"/>
      <c r="CH206" s="83"/>
      <c r="CI206" s="83"/>
      <c r="CJ206" s="83"/>
      <c r="CK206" s="83"/>
      <c r="CL206" s="96"/>
      <c r="CM206" s="96"/>
      <c r="CN206" s="96"/>
      <c r="CO206" s="96"/>
      <c r="CP206" s="83"/>
      <c r="CQ206" s="83"/>
      <c r="CR206" s="83"/>
      <c r="CS206" s="83"/>
      <c r="CT206" s="96"/>
      <c r="CU206" s="96"/>
      <c r="CV206" s="96"/>
      <c r="CW206" s="96"/>
      <c r="CX206" s="83"/>
      <c r="CY206" s="83"/>
      <c r="CZ206" s="83"/>
      <c r="DA206" s="83"/>
      <c r="DB206" s="96"/>
      <c r="DC206" s="83"/>
      <c r="DD206" s="96"/>
      <c r="DE206" s="102"/>
    </row>
    <row r="207" spans="1:109" x14ac:dyDescent="0.2">
      <c r="A207" s="14"/>
      <c r="B207" s="28"/>
      <c r="C207" s="14"/>
      <c r="D207" s="28"/>
      <c r="E207" s="28"/>
      <c r="F207" s="83"/>
      <c r="G207" s="83"/>
      <c r="H207" s="83"/>
      <c r="I207" s="83"/>
      <c r="J207" s="96"/>
      <c r="K207" s="96"/>
      <c r="L207" s="96"/>
      <c r="M207" s="96"/>
      <c r="N207" s="83"/>
      <c r="O207" s="83"/>
      <c r="P207" s="83"/>
      <c r="Q207" s="83"/>
      <c r="R207" s="96"/>
      <c r="S207" s="96"/>
      <c r="T207" s="96"/>
      <c r="U207" s="96"/>
      <c r="V207" s="83"/>
      <c r="W207" s="83"/>
      <c r="X207" s="83"/>
      <c r="Y207" s="83"/>
      <c r="Z207" s="96"/>
      <c r="AA207" s="96"/>
      <c r="AB207" s="96"/>
      <c r="AC207" s="96"/>
      <c r="AD207" s="83"/>
      <c r="AE207" s="83"/>
      <c r="AF207" s="83"/>
      <c r="AG207" s="83"/>
      <c r="AH207" s="96"/>
      <c r="AI207" s="96"/>
      <c r="AJ207" s="96"/>
      <c r="AK207" s="96"/>
      <c r="AL207" s="83"/>
      <c r="AM207" s="83"/>
      <c r="AN207" s="83"/>
      <c r="AO207" s="83"/>
      <c r="AP207" s="96"/>
      <c r="AQ207" s="96"/>
      <c r="AR207" s="96"/>
      <c r="AS207" s="96"/>
      <c r="AT207" s="83"/>
      <c r="AU207" s="83"/>
      <c r="AV207" s="83"/>
      <c r="AW207" s="83"/>
      <c r="AX207" s="96"/>
      <c r="AY207" s="96"/>
      <c r="AZ207" s="96"/>
      <c r="BA207" s="96"/>
      <c r="BB207" s="83"/>
      <c r="BC207" s="83"/>
      <c r="BD207" s="83"/>
      <c r="BE207" s="83"/>
      <c r="BF207" s="96"/>
      <c r="BG207" s="96"/>
      <c r="BH207" s="96"/>
      <c r="BI207" s="96"/>
      <c r="BJ207" s="83"/>
      <c r="BK207" s="83"/>
      <c r="BL207" s="83"/>
      <c r="BM207" s="83"/>
      <c r="BN207" s="96"/>
      <c r="BO207" s="96"/>
      <c r="BP207" s="96"/>
      <c r="BQ207" s="96"/>
      <c r="BR207" s="83"/>
      <c r="BS207" s="83"/>
      <c r="BT207" s="83"/>
      <c r="BU207" s="83"/>
      <c r="BV207" s="96"/>
      <c r="BW207" s="96"/>
      <c r="BX207" s="96"/>
      <c r="BY207" s="96"/>
      <c r="BZ207" s="83"/>
      <c r="CA207" s="83"/>
      <c r="CB207" s="83"/>
      <c r="CC207" s="83"/>
      <c r="CD207" s="96"/>
      <c r="CE207" s="96"/>
      <c r="CF207" s="96"/>
      <c r="CG207" s="96"/>
      <c r="CH207" s="83"/>
      <c r="CI207" s="83"/>
      <c r="CJ207" s="83"/>
      <c r="CK207" s="83"/>
      <c r="CL207" s="96"/>
      <c r="CM207" s="96"/>
      <c r="CN207" s="96"/>
      <c r="CO207" s="96"/>
      <c r="CP207" s="83"/>
      <c r="CQ207" s="83"/>
      <c r="CR207" s="83"/>
      <c r="CS207" s="83"/>
      <c r="CT207" s="96"/>
      <c r="CU207" s="96"/>
      <c r="CV207" s="96"/>
      <c r="CW207" s="96"/>
      <c r="CX207" s="83"/>
      <c r="CY207" s="83"/>
      <c r="CZ207" s="83"/>
      <c r="DA207" s="83"/>
      <c r="DB207" s="96"/>
      <c r="DC207" s="83"/>
      <c r="DD207" s="96"/>
      <c r="DE207" s="102"/>
    </row>
    <row r="208" spans="1:109" x14ac:dyDescent="0.2">
      <c r="A208" s="14"/>
      <c r="B208" s="28"/>
      <c r="C208" s="14"/>
      <c r="D208" s="28"/>
      <c r="E208" s="28"/>
      <c r="F208" s="83"/>
      <c r="G208" s="83"/>
      <c r="H208" s="83"/>
      <c r="I208" s="83"/>
      <c r="J208" s="96"/>
      <c r="K208" s="96"/>
      <c r="L208" s="96"/>
      <c r="M208" s="96"/>
      <c r="N208" s="83"/>
      <c r="O208" s="83"/>
      <c r="P208" s="83"/>
      <c r="Q208" s="83"/>
      <c r="R208" s="96"/>
      <c r="S208" s="96"/>
      <c r="T208" s="96"/>
      <c r="U208" s="96"/>
      <c r="V208" s="83"/>
      <c r="W208" s="83"/>
      <c r="X208" s="83"/>
      <c r="Y208" s="83"/>
      <c r="Z208" s="96"/>
      <c r="AA208" s="96"/>
      <c r="AB208" s="96"/>
      <c r="AC208" s="96"/>
      <c r="AD208" s="83"/>
      <c r="AE208" s="83"/>
      <c r="AF208" s="83"/>
      <c r="AG208" s="83"/>
      <c r="AH208" s="96"/>
      <c r="AI208" s="96"/>
      <c r="AJ208" s="96"/>
      <c r="AK208" s="96"/>
      <c r="AL208" s="83"/>
      <c r="AM208" s="83"/>
      <c r="AN208" s="83"/>
      <c r="AO208" s="83"/>
      <c r="AP208" s="96"/>
      <c r="AQ208" s="96"/>
      <c r="AR208" s="96"/>
      <c r="AS208" s="96"/>
      <c r="AT208" s="83"/>
      <c r="AU208" s="83"/>
      <c r="AV208" s="83"/>
      <c r="AW208" s="83"/>
      <c r="AX208" s="96"/>
      <c r="AY208" s="96"/>
      <c r="AZ208" s="96"/>
      <c r="BA208" s="96"/>
      <c r="BB208" s="83"/>
      <c r="BC208" s="83"/>
      <c r="BD208" s="83"/>
      <c r="BE208" s="83"/>
      <c r="BF208" s="96"/>
      <c r="BG208" s="96"/>
      <c r="BH208" s="96"/>
      <c r="BI208" s="96"/>
      <c r="BJ208" s="83"/>
      <c r="BK208" s="83"/>
      <c r="BL208" s="83"/>
      <c r="BM208" s="83"/>
      <c r="BN208" s="96"/>
      <c r="BO208" s="96"/>
      <c r="BP208" s="96"/>
      <c r="BQ208" s="96"/>
      <c r="BR208" s="83"/>
      <c r="BS208" s="83"/>
      <c r="BT208" s="83"/>
      <c r="BU208" s="83"/>
      <c r="BV208" s="96"/>
      <c r="BW208" s="96"/>
      <c r="BX208" s="96"/>
      <c r="BY208" s="96"/>
      <c r="BZ208" s="83"/>
      <c r="CA208" s="83"/>
      <c r="CB208" s="83"/>
      <c r="CC208" s="83"/>
      <c r="CD208" s="96"/>
      <c r="CE208" s="96"/>
      <c r="CF208" s="96"/>
      <c r="CG208" s="96"/>
      <c r="CH208" s="83"/>
      <c r="CI208" s="83"/>
      <c r="CJ208" s="83"/>
      <c r="CK208" s="83"/>
      <c r="CL208" s="96"/>
      <c r="CM208" s="96"/>
      <c r="CN208" s="96"/>
      <c r="CO208" s="96"/>
      <c r="CP208" s="83"/>
      <c r="CQ208" s="83"/>
      <c r="CR208" s="83"/>
      <c r="CS208" s="83"/>
      <c r="CT208" s="96"/>
      <c r="CU208" s="96"/>
      <c r="CV208" s="96"/>
      <c r="CW208" s="96"/>
      <c r="CX208" s="83"/>
      <c r="CY208" s="83"/>
      <c r="CZ208" s="83"/>
      <c r="DA208" s="83"/>
      <c r="DB208" s="96"/>
      <c r="DC208" s="83"/>
      <c r="DD208" s="96"/>
      <c r="DE208" s="102"/>
    </row>
    <row r="209" spans="1:109" x14ac:dyDescent="0.2">
      <c r="A209" s="28"/>
      <c r="B209" s="28"/>
      <c r="C209" s="14"/>
      <c r="D209" s="28"/>
      <c r="E209" s="28"/>
      <c r="F209" s="83"/>
      <c r="G209" s="83"/>
      <c r="H209" s="83"/>
      <c r="I209" s="83"/>
      <c r="J209" s="96"/>
      <c r="K209" s="96"/>
      <c r="L209" s="96"/>
      <c r="M209" s="96"/>
      <c r="N209" s="83"/>
      <c r="O209" s="83"/>
      <c r="P209" s="83"/>
      <c r="Q209" s="83"/>
      <c r="R209" s="96"/>
      <c r="S209" s="96"/>
      <c r="T209" s="96"/>
      <c r="U209" s="96"/>
      <c r="V209" s="83"/>
      <c r="W209" s="83"/>
      <c r="X209" s="83"/>
      <c r="Y209" s="83"/>
      <c r="Z209" s="96"/>
      <c r="AA209" s="96"/>
      <c r="AB209" s="96"/>
      <c r="AC209" s="96"/>
      <c r="AD209" s="83"/>
      <c r="AE209" s="83"/>
      <c r="AF209" s="83"/>
      <c r="AG209" s="83"/>
      <c r="AH209" s="96"/>
      <c r="AI209" s="96"/>
      <c r="AJ209" s="96"/>
      <c r="AK209" s="96"/>
      <c r="AL209" s="83"/>
      <c r="AM209" s="83"/>
      <c r="AN209" s="83"/>
      <c r="AO209" s="83"/>
      <c r="AP209" s="96"/>
      <c r="AQ209" s="96"/>
      <c r="AR209" s="96"/>
      <c r="AS209" s="96"/>
      <c r="AT209" s="83"/>
      <c r="AU209" s="83"/>
      <c r="AV209" s="83"/>
      <c r="AW209" s="83"/>
      <c r="AX209" s="96"/>
      <c r="AY209" s="96"/>
      <c r="AZ209" s="96"/>
      <c r="BA209" s="96"/>
      <c r="BB209" s="83"/>
      <c r="BC209" s="83"/>
      <c r="BD209" s="83"/>
      <c r="BE209" s="83"/>
      <c r="BF209" s="96"/>
      <c r="BG209" s="96"/>
      <c r="BH209" s="96"/>
      <c r="BI209" s="96"/>
      <c r="BJ209" s="83"/>
      <c r="BK209" s="83"/>
      <c r="BL209" s="83"/>
      <c r="BM209" s="83"/>
      <c r="BN209" s="96"/>
      <c r="BO209" s="96"/>
      <c r="BP209" s="96"/>
      <c r="BQ209" s="96"/>
      <c r="BR209" s="83"/>
      <c r="BS209" s="83"/>
      <c r="BT209" s="83"/>
      <c r="BU209" s="83"/>
      <c r="BV209" s="96"/>
      <c r="BW209" s="96"/>
      <c r="BX209" s="96"/>
      <c r="BY209" s="96"/>
      <c r="BZ209" s="83"/>
      <c r="CA209" s="83"/>
      <c r="CB209" s="83"/>
      <c r="CC209" s="83"/>
      <c r="CD209" s="96"/>
      <c r="CE209" s="96"/>
      <c r="CF209" s="96"/>
      <c r="CG209" s="96"/>
      <c r="CH209" s="83"/>
      <c r="CI209" s="83"/>
      <c r="CJ209" s="83"/>
      <c r="CK209" s="83"/>
      <c r="CL209" s="96"/>
      <c r="CM209" s="96"/>
      <c r="CN209" s="96"/>
      <c r="CO209" s="96"/>
      <c r="CP209" s="83"/>
      <c r="CQ209" s="83"/>
      <c r="CR209" s="83"/>
      <c r="CS209" s="83"/>
      <c r="CT209" s="96"/>
      <c r="CU209" s="96"/>
      <c r="CV209" s="96"/>
      <c r="CW209" s="96"/>
      <c r="CX209" s="83"/>
      <c r="CY209" s="83"/>
      <c r="CZ209" s="83"/>
      <c r="DA209" s="83"/>
      <c r="DB209" s="96"/>
      <c r="DC209" s="83"/>
      <c r="DD209" s="96"/>
      <c r="DE209" s="102"/>
    </row>
    <row r="210" spans="1:109" x14ac:dyDescent="0.2">
      <c r="A210" s="28"/>
      <c r="B210" s="28"/>
      <c r="C210" s="14"/>
      <c r="D210" s="28"/>
      <c r="E210" s="28"/>
      <c r="F210" s="83"/>
      <c r="G210" s="83"/>
      <c r="H210" s="83"/>
      <c r="I210" s="83"/>
      <c r="J210" s="96"/>
      <c r="K210" s="96"/>
      <c r="L210" s="96"/>
      <c r="M210" s="96"/>
      <c r="N210" s="83"/>
      <c r="O210" s="83"/>
      <c r="P210" s="83"/>
      <c r="Q210" s="83"/>
      <c r="R210" s="96"/>
      <c r="S210" s="96"/>
      <c r="T210" s="96"/>
      <c r="U210" s="96"/>
      <c r="V210" s="83"/>
      <c r="W210" s="83"/>
      <c r="X210" s="83"/>
      <c r="Y210" s="83"/>
      <c r="Z210" s="96"/>
      <c r="AA210" s="96"/>
      <c r="AB210" s="96"/>
      <c r="AC210" s="96"/>
      <c r="AD210" s="83"/>
      <c r="AE210" s="83"/>
      <c r="AF210" s="83"/>
      <c r="AG210" s="83"/>
      <c r="AH210" s="96"/>
      <c r="AI210" s="96"/>
      <c r="AJ210" s="96"/>
      <c r="AK210" s="96"/>
      <c r="AL210" s="83"/>
      <c r="AM210" s="83"/>
      <c r="AN210" s="83"/>
      <c r="AO210" s="83"/>
      <c r="AP210" s="96"/>
      <c r="AQ210" s="96"/>
      <c r="AR210" s="96"/>
      <c r="AS210" s="96"/>
      <c r="AT210" s="83"/>
      <c r="AU210" s="83"/>
      <c r="AV210" s="83"/>
      <c r="AW210" s="83"/>
      <c r="AX210" s="96"/>
      <c r="AY210" s="96"/>
      <c r="AZ210" s="96"/>
      <c r="BA210" s="96"/>
      <c r="BB210" s="83"/>
      <c r="BC210" s="83"/>
      <c r="BD210" s="83"/>
      <c r="BE210" s="83"/>
      <c r="BF210" s="96"/>
      <c r="BG210" s="96"/>
      <c r="BH210" s="96"/>
      <c r="BI210" s="96"/>
      <c r="BJ210" s="83"/>
      <c r="BK210" s="83"/>
      <c r="BL210" s="83"/>
      <c r="BM210" s="83"/>
      <c r="BN210" s="96"/>
      <c r="BO210" s="96"/>
      <c r="BP210" s="96"/>
      <c r="BQ210" s="96"/>
      <c r="BR210" s="83"/>
      <c r="BS210" s="83"/>
      <c r="BT210" s="83"/>
      <c r="BU210" s="83"/>
      <c r="BV210" s="96"/>
      <c r="BW210" s="96"/>
      <c r="BX210" s="96"/>
      <c r="BY210" s="96"/>
      <c r="BZ210" s="83"/>
      <c r="CA210" s="83"/>
      <c r="CB210" s="83"/>
      <c r="CC210" s="83"/>
      <c r="CD210" s="96"/>
      <c r="CE210" s="96"/>
      <c r="CF210" s="96"/>
      <c r="CG210" s="96"/>
      <c r="CH210" s="83"/>
      <c r="CI210" s="83"/>
      <c r="CJ210" s="83"/>
      <c r="CK210" s="83"/>
      <c r="CL210" s="96"/>
      <c r="CM210" s="96"/>
      <c r="CN210" s="96"/>
      <c r="CO210" s="96"/>
      <c r="CP210" s="83"/>
      <c r="CQ210" s="83"/>
      <c r="CR210" s="83"/>
      <c r="CS210" s="83"/>
      <c r="CT210" s="96"/>
      <c r="CU210" s="96"/>
      <c r="CV210" s="96"/>
      <c r="CW210" s="96"/>
      <c r="CX210" s="83"/>
      <c r="CY210" s="83"/>
      <c r="CZ210" s="83"/>
      <c r="DA210" s="83"/>
      <c r="DB210" s="96"/>
      <c r="DC210" s="83"/>
      <c r="DD210" s="96"/>
      <c r="DE210" s="102"/>
    </row>
    <row r="211" spans="1:109" x14ac:dyDescent="0.2">
      <c r="A211" s="28"/>
      <c r="B211" s="28"/>
      <c r="C211" s="14"/>
      <c r="D211" s="28"/>
      <c r="E211" s="28"/>
      <c r="F211" s="83"/>
      <c r="G211" s="83"/>
      <c r="H211" s="83"/>
      <c r="I211" s="83"/>
      <c r="J211" s="96"/>
      <c r="K211" s="96"/>
      <c r="L211" s="96"/>
      <c r="M211" s="96"/>
      <c r="N211" s="83"/>
      <c r="O211" s="83"/>
      <c r="P211" s="83"/>
      <c r="Q211" s="83"/>
      <c r="R211" s="96"/>
      <c r="S211" s="96"/>
      <c r="T211" s="96"/>
      <c r="U211" s="96"/>
      <c r="V211" s="83"/>
      <c r="W211" s="83"/>
      <c r="X211" s="83"/>
      <c r="Y211" s="83"/>
      <c r="Z211" s="96"/>
      <c r="AA211" s="96"/>
      <c r="AB211" s="96"/>
      <c r="AC211" s="96"/>
      <c r="AD211" s="83"/>
      <c r="AE211" s="83"/>
      <c r="AF211" s="83"/>
      <c r="AG211" s="83"/>
      <c r="AH211" s="96"/>
      <c r="AI211" s="96"/>
      <c r="AJ211" s="96"/>
      <c r="AK211" s="96"/>
      <c r="AL211" s="83"/>
      <c r="AM211" s="83"/>
      <c r="AN211" s="83"/>
      <c r="AO211" s="83"/>
      <c r="AP211" s="96"/>
      <c r="AQ211" s="96"/>
      <c r="AR211" s="96"/>
      <c r="AS211" s="96"/>
      <c r="AT211" s="83"/>
      <c r="AU211" s="83"/>
      <c r="AV211" s="83"/>
      <c r="AW211" s="83"/>
      <c r="AX211" s="96"/>
      <c r="AY211" s="96"/>
      <c r="AZ211" s="96"/>
      <c r="BA211" s="96"/>
      <c r="BB211" s="83"/>
      <c r="BC211" s="83"/>
      <c r="BD211" s="83"/>
      <c r="BE211" s="83"/>
      <c r="BF211" s="96"/>
      <c r="BG211" s="96"/>
      <c r="BH211" s="96"/>
      <c r="BI211" s="96"/>
      <c r="BJ211" s="83"/>
      <c r="BK211" s="83"/>
      <c r="BL211" s="83"/>
      <c r="BM211" s="83"/>
      <c r="BN211" s="96"/>
      <c r="BO211" s="96"/>
      <c r="BP211" s="96"/>
      <c r="BQ211" s="96"/>
      <c r="BR211" s="83"/>
      <c r="BS211" s="83"/>
      <c r="BT211" s="83"/>
      <c r="BU211" s="83"/>
      <c r="BV211" s="96"/>
      <c r="BW211" s="96"/>
      <c r="BX211" s="96"/>
      <c r="BY211" s="96"/>
      <c r="BZ211" s="83"/>
      <c r="CA211" s="83"/>
      <c r="CB211" s="83"/>
      <c r="CC211" s="83"/>
      <c r="CD211" s="96"/>
      <c r="CE211" s="96"/>
      <c r="CF211" s="96"/>
      <c r="CG211" s="96"/>
      <c r="CH211" s="83"/>
      <c r="CI211" s="83"/>
      <c r="CJ211" s="83"/>
      <c r="CK211" s="83"/>
      <c r="CL211" s="96"/>
      <c r="CM211" s="96"/>
      <c r="CN211" s="96"/>
      <c r="CO211" s="96"/>
      <c r="CP211" s="83"/>
      <c r="CQ211" s="83"/>
      <c r="CR211" s="83"/>
      <c r="CS211" s="83"/>
      <c r="CT211" s="96"/>
      <c r="CU211" s="96"/>
      <c r="CV211" s="96"/>
      <c r="CW211" s="96"/>
      <c r="CX211" s="83"/>
      <c r="CY211" s="83"/>
      <c r="CZ211" s="83"/>
      <c r="DA211" s="83"/>
      <c r="DB211" s="96"/>
      <c r="DC211" s="83"/>
      <c r="DD211" s="96"/>
      <c r="DE211" s="102"/>
    </row>
    <row r="212" spans="1:109" x14ac:dyDescent="0.2">
      <c r="A212" s="28"/>
      <c r="B212" s="28"/>
      <c r="C212" s="14"/>
      <c r="D212" s="28"/>
      <c r="E212" s="28"/>
      <c r="F212" s="83"/>
      <c r="G212" s="83"/>
      <c r="H212" s="83"/>
      <c r="I212" s="83"/>
      <c r="J212" s="96"/>
      <c r="K212" s="96"/>
      <c r="L212" s="96"/>
      <c r="M212" s="96"/>
      <c r="N212" s="83"/>
      <c r="O212" s="83"/>
      <c r="P212" s="83"/>
      <c r="Q212" s="83"/>
      <c r="R212" s="96"/>
      <c r="S212" s="96"/>
      <c r="T212" s="96"/>
      <c r="U212" s="96"/>
      <c r="V212" s="83"/>
      <c r="W212" s="83"/>
      <c r="X212" s="83"/>
      <c r="Y212" s="83"/>
      <c r="Z212" s="96"/>
      <c r="AA212" s="96"/>
      <c r="AB212" s="96"/>
      <c r="AC212" s="96"/>
      <c r="AD212" s="83"/>
      <c r="AE212" s="83"/>
      <c r="AF212" s="83"/>
      <c r="AG212" s="83"/>
      <c r="AH212" s="96"/>
      <c r="AI212" s="96"/>
      <c r="AJ212" s="96"/>
      <c r="AK212" s="96"/>
      <c r="AL212" s="83"/>
      <c r="AM212" s="83"/>
      <c r="AN212" s="83"/>
      <c r="AO212" s="83"/>
      <c r="AP212" s="96"/>
      <c r="AQ212" s="96"/>
      <c r="AR212" s="96"/>
      <c r="AS212" s="96"/>
      <c r="AT212" s="83"/>
      <c r="AU212" s="83"/>
      <c r="AV212" s="83"/>
      <c r="AW212" s="83"/>
      <c r="AX212" s="96"/>
      <c r="AY212" s="96"/>
      <c r="AZ212" s="96"/>
      <c r="BA212" s="96"/>
      <c r="BB212" s="83"/>
      <c r="BC212" s="83"/>
      <c r="BD212" s="83"/>
      <c r="BE212" s="83"/>
      <c r="BF212" s="96"/>
      <c r="BG212" s="96"/>
      <c r="BH212" s="96"/>
      <c r="BI212" s="96"/>
      <c r="BJ212" s="83"/>
      <c r="BK212" s="83"/>
      <c r="BL212" s="83"/>
      <c r="BM212" s="83"/>
      <c r="BN212" s="96"/>
      <c r="BO212" s="96"/>
      <c r="BP212" s="96"/>
      <c r="BQ212" s="96"/>
      <c r="BR212" s="83"/>
      <c r="BS212" s="83"/>
      <c r="BT212" s="83"/>
      <c r="BU212" s="83"/>
      <c r="BV212" s="96"/>
      <c r="BW212" s="96"/>
      <c r="BX212" s="96"/>
      <c r="BY212" s="96"/>
      <c r="BZ212" s="83"/>
      <c r="CA212" s="83"/>
      <c r="CB212" s="83"/>
      <c r="CC212" s="83"/>
      <c r="CD212" s="96"/>
      <c r="CE212" s="96"/>
      <c r="CF212" s="96"/>
      <c r="CG212" s="96"/>
      <c r="CH212" s="83"/>
      <c r="CI212" s="83"/>
      <c r="CJ212" s="83"/>
      <c r="CK212" s="83"/>
      <c r="CL212" s="96"/>
      <c r="CM212" s="96"/>
      <c r="CN212" s="96"/>
      <c r="CO212" s="96"/>
      <c r="CP212" s="83"/>
      <c r="CQ212" s="83"/>
      <c r="CR212" s="83"/>
      <c r="CS212" s="83"/>
      <c r="CT212" s="96"/>
      <c r="CU212" s="96"/>
      <c r="CV212" s="96"/>
      <c r="CW212" s="96"/>
      <c r="CX212" s="83"/>
      <c r="CY212" s="83"/>
      <c r="CZ212" s="83"/>
      <c r="DA212" s="83"/>
      <c r="DB212" s="96"/>
      <c r="DC212" s="83"/>
      <c r="DD212" s="96"/>
      <c r="DE212" s="102"/>
    </row>
    <row r="213" spans="1:109" x14ac:dyDescent="0.2">
      <c r="A213" s="28"/>
      <c r="B213" s="28"/>
      <c r="C213" s="14"/>
      <c r="D213" s="28"/>
      <c r="E213" s="28"/>
      <c r="F213" s="83"/>
      <c r="G213" s="83"/>
      <c r="H213" s="83"/>
      <c r="I213" s="83"/>
      <c r="J213" s="96"/>
      <c r="K213" s="96"/>
      <c r="L213" s="96"/>
      <c r="M213" s="96"/>
      <c r="N213" s="83"/>
      <c r="O213" s="83"/>
      <c r="P213" s="83"/>
      <c r="Q213" s="83"/>
      <c r="R213" s="96"/>
      <c r="S213" s="96"/>
      <c r="T213" s="96"/>
      <c r="U213" s="96"/>
      <c r="V213" s="83"/>
      <c r="W213" s="83"/>
      <c r="X213" s="83"/>
      <c r="Y213" s="83"/>
      <c r="Z213" s="96"/>
      <c r="AA213" s="96"/>
      <c r="AB213" s="96"/>
      <c r="AC213" s="96"/>
      <c r="AD213" s="83"/>
      <c r="AE213" s="83"/>
      <c r="AF213" s="83"/>
      <c r="AG213" s="83"/>
      <c r="AH213" s="96"/>
      <c r="AI213" s="96"/>
      <c r="AJ213" s="96"/>
      <c r="AK213" s="96"/>
      <c r="AL213" s="83"/>
      <c r="AM213" s="83"/>
      <c r="AN213" s="83"/>
      <c r="AO213" s="83"/>
      <c r="AP213" s="96"/>
      <c r="AQ213" s="96"/>
      <c r="AR213" s="96"/>
      <c r="AS213" s="96"/>
      <c r="AT213" s="83"/>
      <c r="AU213" s="83"/>
      <c r="AV213" s="83"/>
      <c r="AW213" s="83"/>
      <c r="AX213" s="96"/>
      <c r="AY213" s="96"/>
      <c r="AZ213" s="96"/>
      <c r="BA213" s="96"/>
      <c r="BB213" s="83"/>
      <c r="BC213" s="83"/>
      <c r="BD213" s="83"/>
      <c r="BE213" s="83"/>
      <c r="BF213" s="96"/>
      <c r="BG213" s="96"/>
      <c r="BH213" s="96"/>
      <c r="BI213" s="96"/>
      <c r="BJ213" s="83"/>
      <c r="BK213" s="83"/>
      <c r="BL213" s="83"/>
      <c r="BM213" s="83"/>
      <c r="BN213" s="96"/>
      <c r="BO213" s="96"/>
      <c r="BP213" s="96"/>
      <c r="BQ213" s="96"/>
      <c r="BR213" s="83"/>
      <c r="BS213" s="83"/>
      <c r="BT213" s="83"/>
      <c r="BU213" s="83"/>
      <c r="BV213" s="96"/>
      <c r="BW213" s="96"/>
      <c r="BX213" s="96"/>
      <c r="BY213" s="96"/>
      <c r="BZ213" s="83"/>
      <c r="CA213" s="83"/>
      <c r="CB213" s="83"/>
      <c r="CC213" s="83"/>
      <c r="CD213" s="96"/>
      <c r="CE213" s="96"/>
      <c r="CF213" s="96"/>
      <c r="CG213" s="96"/>
      <c r="CH213" s="83"/>
      <c r="CI213" s="83"/>
      <c r="CJ213" s="83"/>
      <c r="CK213" s="83"/>
      <c r="CL213" s="96"/>
      <c r="CM213" s="96"/>
      <c r="CN213" s="96"/>
      <c r="CO213" s="96"/>
      <c r="CP213" s="83"/>
      <c r="CQ213" s="83"/>
      <c r="CR213" s="83"/>
      <c r="CS213" s="83"/>
      <c r="CT213" s="96"/>
      <c r="CU213" s="96"/>
      <c r="CV213" s="96"/>
      <c r="CW213" s="96"/>
      <c r="CX213" s="83"/>
      <c r="CY213" s="83"/>
      <c r="CZ213" s="83"/>
      <c r="DA213" s="83"/>
      <c r="DB213" s="96"/>
      <c r="DC213" s="83"/>
      <c r="DD213" s="96"/>
      <c r="DE213" s="102"/>
    </row>
    <row r="214" spans="1:109" x14ac:dyDescent="0.2">
      <c r="A214" s="28"/>
      <c r="B214" s="28"/>
      <c r="C214" s="14"/>
      <c r="D214" s="28"/>
      <c r="E214" s="28"/>
      <c r="F214" s="83"/>
      <c r="G214" s="83"/>
      <c r="H214" s="83"/>
      <c r="I214" s="83"/>
      <c r="J214" s="96"/>
      <c r="K214" s="96"/>
      <c r="L214" s="96"/>
      <c r="M214" s="96"/>
      <c r="N214" s="83"/>
      <c r="O214" s="83"/>
      <c r="P214" s="83"/>
      <c r="Q214" s="83"/>
      <c r="R214" s="96"/>
      <c r="S214" s="96"/>
      <c r="T214" s="96"/>
      <c r="U214" s="96"/>
      <c r="V214" s="83"/>
      <c r="W214" s="83"/>
      <c r="X214" s="83"/>
      <c r="Y214" s="83"/>
      <c r="Z214" s="96"/>
      <c r="AA214" s="96"/>
      <c r="AB214" s="96"/>
      <c r="AC214" s="96"/>
      <c r="AD214" s="83"/>
      <c r="AE214" s="83"/>
      <c r="AF214" s="83"/>
      <c r="AG214" s="83"/>
      <c r="AH214" s="96"/>
      <c r="AI214" s="96"/>
      <c r="AJ214" s="96"/>
      <c r="AK214" s="96"/>
      <c r="AL214" s="83"/>
      <c r="AM214" s="83"/>
      <c r="AN214" s="83"/>
      <c r="AO214" s="83"/>
      <c r="AP214" s="96"/>
      <c r="AQ214" s="96"/>
      <c r="AR214" s="96"/>
      <c r="AS214" s="96"/>
      <c r="AT214" s="83"/>
      <c r="AU214" s="83"/>
      <c r="AV214" s="83"/>
      <c r="AW214" s="83"/>
      <c r="AX214" s="96"/>
      <c r="AY214" s="96"/>
      <c r="AZ214" s="96"/>
      <c r="BA214" s="96"/>
      <c r="BB214" s="83"/>
      <c r="BC214" s="83"/>
      <c r="BD214" s="83"/>
      <c r="BE214" s="83"/>
      <c r="BF214" s="96"/>
      <c r="BG214" s="96"/>
      <c r="BH214" s="96"/>
      <c r="BI214" s="96"/>
      <c r="BJ214" s="83"/>
      <c r="BK214" s="83"/>
      <c r="BL214" s="83"/>
      <c r="BM214" s="83"/>
      <c r="BN214" s="96"/>
      <c r="BO214" s="96"/>
      <c r="BP214" s="96"/>
      <c r="BQ214" s="96"/>
      <c r="BR214" s="83"/>
      <c r="BS214" s="83"/>
      <c r="BT214" s="83"/>
      <c r="BU214" s="83"/>
      <c r="BV214" s="96"/>
      <c r="BW214" s="96"/>
      <c r="BX214" s="96"/>
      <c r="BY214" s="96"/>
      <c r="BZ214" s="83"/>
      <c r="CA214" s="83"/>
      <c r="CB214" s="83"/>
      <c r="CC214" s="83"/>
      <c r="CD214" s="96"/>
      <c r="CE214" s="96"/>
      <c r="CF214" s="96"/>
      <c r="CG214" s="96"/>
      <c r="CH214" s="83"/>
      <c r="CI214" s="83"/>
      <c r="CJ214" s="83"/>
      <c r="CK214" s="83"/>
      <c r="CL214" s="96"/>
      <c r="CM214" s="96"/>
      <c r="CN214" s="96"/>
      <c r="CO214" s="96"/>
      <c r="CP214" s="83"/>
      <c r="CQ214" s="83"/>
      <c r="CR214" s="83"/>
      <c r="CS214" s="83"/>
      <c r="CT214" s="96"/>
      <c r="CU214" s="96"/>
      <c r="CV214" s="96"/>
      <c r="CW214" s="96"/>
      <c r="CX214" s="83"/>
      <c r="CY214" s="83"/>
      <c r="CZ214" s="83"/>
      <c r="DA214" s="83"/>
      <c r="DB214" s="96"/>
      <c r="DC214" s="83"/>
      <c r="DD214" s="96"/>
      <c r="DE214" s="102"/>
    </row>
    <row r="215" spans="1:109" x14ac:dyDescent="0.2">
      <c r="A215" s="28"/>
      <c r="B215" s="28"/>
      <c r="C215" s="14"/>
      <c r="D215" s="28"/>
      <c r="E215" s="28"/>
      <c r="F215" s="83"/>
      <c r="G215" s="83"/>
      <c r="H215" s="83"/>
      <c r="I215" s="83"/>
      <c r="J215" s="96"/>
      <c r="K215" s="96"/>
      <c r="L215" s="96"/>
      <c r="M215" s="96"/>
      <c r="N215" s="83"/>
      <c r="O215" s="83"/>
      <c r="P215" s="83"/>
      <c r="Q215" s="83"/>
      <c r="R215" s="96"/>
      <c r="S215" s="96"/>
      <c r="T215" s="96"/>
      <c r="U215" s="96"/>
      <c r="V215" s="83"/>
      <c r="W215" s="83"/>
      <c r="X215" s="83"/>
      <c r="Y215" s="83"/>
      <c r="Z215" s="96"/>
      <c r="AA215" s="96"/>
      <c r="AB215" s="96"/>
      <c r="AC215" s="96"/>
      <c r="AD215" s="83"/>
      <c r="AE215" s="83"/>
      <c r="AF215" s="83"/>
      <c r="AG215" s="83"/>
      <c r="AH215" s="96"/>
      <c r="AI215" s="96"/>
      <c r="AJ215" s="96"/>
      <c r="AK215" s="96"/>
      <c r="AL215" s="83"/>
      <c r="AM215" s="83"/>
      <c r="AN215" s="83"/>
      <c r="AO215" s="83"/>
      <c r="AP215" s="96"/>
      <c r="AQ215" s="96"/>
      <c r="AR215" s="96"/>
      <c r="AS215" s="96"/>
      <c r="AT215" s="83"/>
      <c r="AU215" s="83"/>
      <c r="AV215" s="83"/>
      <c r="AW215" s="83"/>
      <c r="AX215" s="96"/>
      <c r="AY215" s="96"/>
      <c r="AZ215" s="96"/>
      <c r="BA215" s="96"/>
      <c r="BB215" s="83"/>
      <c r="BC215" s="83"/>
      <c r="BD215" s="83"/>
      <c r="BE215" s="83"/>
      <c r="BF215" s="96"/>
      <c r="BG215" s="96"/>
      <c r="BH215" s="96"/>
      <c r="BI215" s="96"/>
      <c r="BJ215" s="83"/>
      <c r="BK215" s="83"/>
      <c r="BL215" s="83"/>
      <c r="BM215" s="83"/>
      <c r="BN215" s="96"/>
      <c r="BO215" s="96"/>
      <c r="BP215" s="96"/>
      <c r="BQ215" s="96"/>
      <c r="BR215" s="83"/>
      <c r="BS215" s="83"/>
      <c r="BT215" s="83"/>
      <c r="BU215" s="83"/>
      <c r="BV215" s="96"/>
      <c r="BW215" s="96"/>
      <c r="BX215" s="96"/>
      <c r="BY215" s="96"/>
      <c r="BZ215" s="83"/>
      <c r="CA215" s="83"/>
      <c r="CB215" s="83"/>
      <c r="CC215" s="83"/>
      <c r="CD215" s="96"/>
      <c r="CE215" s="96"/>
      <c r="CF215" s="96"/>
      <c r="CG215" s="96"/>
      <c r="CH215" s="83"/>
      <c r="CI215" s="83"/>
      <c r="CJ215" s="83"/>
      <c r="CK215" s="83"/>
      <c r="CL215" s="96"/>
      <c r="CM215" s="96"/>
      <c r="CN215" s="96"/>
      <c r="CO215" s="96"/>
      <c r="CP215" s="83"/>
      <c r="CQ215" s="83"/>
      <c r="CR215" s="83"/>
      <c r="CS215" s="83"/>
      <c r="CT215" s="96"/>
      <c r="CU215" s="96"/>
      <c r="CV215" s="96"/>
      <c r="CW215" s="96"/>
      <c r="CX215" s="83"/>
      <c r="CY215" s="83"/>
      <c r="CZ215" s="83"/>
      <c r="DA215" s="83"/>
      <c r="DB215" s="96"/>
      <c r="DC215" s="83"/>
      <c r="DD215" s="96"/>
      <c r="DE215" s="102"/>
    </row>
    <row r="216" spans="1:109" x14ac:dyDescent="0.2">
      <c r="A216" s="28"/>
      <c r="B216" s="28"/>
      <c r="C216" s="14"/>
      <c r="D216" s="28"/>
      <c r="E216" s="28"/>
      <c r="F216" s="83"/>
      <c r="G216" s="83"/>
      <c r="H216" s="83"/>
      <c r="I216" s="83"/>
      <c r="J216" s="96"/>
      <c r="K216" s="96"/>
      <c r="L216" s="96"/>
      <c r="M216" s="96"/>
      <c r="N216" s="83"/>
      <c r="O216" s="83"/>
      <c r="P216" s="83"/>
      <c r="Q216" s="83"/>
      <c r="R216" s="96"/>
      <c r="S216" s="96"/>
      <c r="T216" s="96"/>
      <c r="U216" s="96"/>
      <c r="V216" s="83"/>
      <c r="W216" s="83"/>
      <c r="X216" s="83"/>
      <c r="Y216" s="83"/>
      <c r="Z216" s="96"/>
      <c r="AA216" s="96"/>
      <c r="AB216" s="96"/>
      <c r="AC216" s="96"/>
      <c r="AD216" s="83"/>
      <c r="AE216" s="83"/>
      <c r="AF216" s="83"/>
      <c r="AG216" s="83"/>
      <c r="AH216" s="96"/>
      <c r="AI216" s="96"/>
      <c r="AJ216" s="96"/>
      <c r="AK216" s="96"/>
      <c r="AL216" s="83"/>
      <c r="AM216" s="83"/>
      <c r="AN216" s="83"/>
      <c r="AO216" s="83"/>
      <c r="AP216" s="96"/>
      <c r="AQ216" s="96"/>
      <c r="AR216" s="96"/>
      <c r="AS216" s="96"/>
      <c r="AT216" s="83"/>
      <c r="AU216" s="83"/>
      <c r="AV216" s="83"/>
      <c r="AW216" s="83"/>
      <c r="AX216" s="96"/>
      <c r="AY216" s="96"/>
      <c r="AZ216" s="96"/>
      <c r="BA216" s="96"/>
      <c r="BB216" s="83"/>
      <c r="BC216" s="83"/>
      <c r="BD216" s="83"/>
      <c r="BE216" s="83"/>
      <c r="BF216" s="96"/>
      <c r="BG216" s="96"/>
      <c r="BH216" s="96"/>
      <c r="BI216" s="96"/>
      <c r="BJ216" s="83"/>
      <c r="BK216" s="83"/>
      <c r="BL216" s="83"/>
      <c r="BM216" s="83"/>
      <c r="BN216" s="96"/>
      <c r="BO216" s="96"/>
      <c r="BP216" s="96"/>
      <c r="BQ216" s="96"/>
      <c r="BR216" s="83"/>
      <c r="BS216" s="83"/>
      <c r="BT216" s="83"/>
      <c r="BU216" s="83"/>
      <c r="BV216" s="96"/>
      <c r="BW216" s="96"/>
      <c r="BX216" s="96"/>
      <c r="BY216" s="96"/>
      <c r="BZ216" s="83"/>
      <c r="CA216" s="83"/>
      <c r="CB216" s="83"/>
      <c r="CC216" s="83"/>
      <c r="CD216" s="96"/>
      <c r="CE216" s="96"/>
      <c r="CF216" s="96"/>
      <c r="CG216" s="96"/>
      <c r="CH216" s="83"/>
      <c r="CI216" s="83"/>
      <c r="CJ216" s="83"/>
      <c r="CK216" s="83"/>
      <c r="CL216" s="96"/>
      <c r="CM216" s="96"/>
      <c r="CN216" s="96"/>
      <c r="CO216" s="96"/>
      <c r="CP216" s="83"/>
      <c r="CQ216" s="83"/>
      <c r="CR216" s="83"/>
      <c r="CS216" s="83"/>
      <c r="CT216" s="96"/>
      <c r="CU216" s="96"/>
      <c r="CV216" s="96"/>
      <c r="CW216" s="96"/>
      <c r="CX216" s="83"/>
      <c r="CY216" s="83"/>
      <c r="CZ216" s="83"/>
      <c r="DA216" s="83"/>
      <c r="DB216" s="96"/>
      <c r="DC216" s="83"/>
      <c r="DD216" s="96"/>
      <c r="DE216" s="102"/>
    </row>
  </sheetData>
  <mergeCells count="34">
    <mergeCell ref="CT6:CW6"/>
    <mergeCell ref="CX6:DA6"/>
    <mergeCell ref="CH6:CK6"/>
    <mergeCell ref="CL6:CO6"/>
    <mergeCell ref="CP6:CS6"/>
    <mergeCell ref="BN6:BQ6"/>
    <mergeCell ref="BR6:BU6"/>
    <mergeCell ref="BV6:BY6"/>
    <mergeCell ref="BZ6:CC6"/>
    <mergeCell ref="CD6:CG6"/>
    <mergeCell ref="BB6:BE6"/>
    <mergeCell ref="BF6:BI6"/>
    <mergeCell ref="BJ6:BM6"/>
    <mergeCell ref="AD6:AG6"/>
    <mergeCell ref="AH6:AK6"/>
    <mergeCell ref="AL6:AO6"/>
    <mergeCell ref="AP6:AS6"/>
    <mergeCell ref="AT6:AW6"/>
    <mergeCell ref="DB6:DB7"/>
    <mergeCell ref="DC6:DC7"/>
    <mergeCell ref="DD6:DD7"/>
    <mergeCell ref="DE6:DE7"/>
    <mergeCell ref="A6:A7"/>
    <mergeCell ref="B6:B7"/>
    <mergeCell ref="C6:C7"/>
    <mergeCell ref="D6:D7"/>
    <mergeCell ref="E6:E7"/>
    <mergeCell ref="F6:I6"/>
    <mergeCell ref="J6:M6"/>
    <mergeCell ref="N6:Q6"/>
    <mergeCell ref="R6:U6"/>
    <mergeCell ref="V6:Y6"/>
    <mergeCell ref="Z6:AC6"/>
    <mergeCell ref="AX6:BA6"/>
  </mergeCell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255"/>
  <sheetViews>
    <sheetView topLeftCell="A1082" zoomScaleNormal="100" workbookViewId="0">
      <selection activeCell="H1093" sqref="H1093:I1093"/>
    </sheetView>
  </sheetViews>
  <sheetFormatPr baseColWidth="10" defaultColWidth="9.1640625" defaultRowHeight="15" x14ac:dyDescent="0.2"/>
  <cols>
    <col min="1" max="1" width="9.1640625" style="76"/>
    <col min="2" max="2" width="25.5" bestFit="1" customWidth="1"/>
    <col min="4" max="6" width="9.1640625" customWidth="1"/>
    <col min="7" max="7" width="11.5" bestFit="1" customWidth="1"/>
    <col min="8" max="8" width="12.6640625" customWidth="1"/>
    <col min="9" max="9" width="15" style="51" bestFit="1" customWidth="1"/>
    <col min="11" max="11" width="27.33203125" bestFit="1" customWidth="1"/>
  </cols>
  <sheetData>
    <row r="1" spans="1:9" x14ac:dyDescent="0.2">
      <c r="A1" s="34"/>
      <c r="B1" s="33"/>
      <c r="C1" s="34"/>
      <c r="D1" s="34"/>
      <c r="E1" s="34"/>
      <c r="F1" s="34"/>
      <c r="G1" s="35"/>
      <c r="H1" s="36"/>
      <c r="I1" s="36"/>
    </row>
    <row r="2" spans="1:9" x14ac:dyDescent="0.2">
      <c r="A2" s="37"/>
      <c r="B2" s="37"/>
      <c r="C2" s="37"/>
      <c r="D2" s="37"/>
      <c r="E2" s="37"/>
      <c r="F2" s="37"/>
      <c r="G2" s="38"/>
      <c r="H2" s="39"/>
      <c r="I2" s="36"/>
    </row>
    <row r="3" spans="1:9" x14ac:dyDescent="0.2">
      <c r="A3" s="169" t="s">
        <v>5</v>
      </c>
      <c r="B3" s="169" t="s">
        <v>6</v>
      </c>
      <c r="C3" s="169" t="s">
        <v>303</v>
      </c>
      <c r="D3" s="169" t="s">
        <v>304</v>
      </c>
      <c r="E3" s="169" t="s">
        <v>305</v>
      </c>
      <c r="F3" s="170" t="s">
        <v>306</v>
      </c>
      <c r="G3" s="168" t="s">
        <v>307</v>
      </c>
      <c r="H3" s="137" t="s">
        <v>362</v>
      </c>
      <c r="I3" s="167" t="s">
        <v>364</v>
      </c>
    </row>
    <row r="4" spans="1:9" x14ac:dyDescent="0.2">
      <c r="A4" s="169"/>
      <c r="B4" s="169"/>
      <c r="C4" s="169"/>
      <c r="D4" s="169"/>
      <c r="E4" s="169"/>
      <c r="F4" s="170"/>
      <c r="G4" s="168"/>
      <c r="H4" s="137" t="s">
        <v>363</v>
      </c>
      <c r="I4" s="167"/>
    </row>
    <row r="5" spans="1:9" x14ac:dyDescent="0.2">
      <c r="A5" s="40">
        <v>1</v>
      </c>
      <c r="B5" s="129" t="s">
        <v>308</v>
      </c>
      <c r="C5" s="124">
        <v>31211</v>
      </c>
      <c r="D5" s="134" t="s">
        <v>938</v>
      </c>
      <c r="E5" s="124" t="s">
        <v>657</v>
      </c>
      <c r="F5" s="124">
        <v>1</v>
      </c>
      <c r="G5" s="125">
        <v>76073.849545454548</v>
      </c>
      <c r="H5" s="125">
        <v>76073.849545454548</v>
      </c>
      <c r="I5" s="126">
        <v>76073.849545454548</v>
      </c>
    </row>
    <row r="6" spans="1:9" x14ac:dyDescent="0.2">
      <c r="A6" s="40"/>
      <c r="B6" s="41"/>
      <c r="C6" s="43"/>
      <c r="D6" s="42"/>
      <c r="E6" s="43"/>
      <c r="F6" s="43"/>
      <c r="G6" s="48">
        <v>0</v>
      </c>
      <c r="H6" s="48">
        <v>76073.849545454548</v>
      </c>
      <c r="I6" s="50"/>
    </row>
    <row r="7" spans="1:9" x14ac:dyDescent="0.2">
      <c r="A7" s="40"/>
      <c r="B7" s="41"/>
      <c r="C7" s="43"/>
      <c r="D7" s="42"/>
      <c r="E7" s="43"/>
      <c r="F7" s="43"/>
      <c r="G7" s="48">
        <v>0</v>
      </c>
      <c r="H7" s="48">
        <v>76073.849545454548</v>
      </c>
      <c r="I7" s="50"/>
    </row>
    <row r="8" spans="1:9" x14ac:dyDescent="0.2">
      <c r="A8" s="40"/>
      <c r="B8" s="41"/>
      <c r="C8" s="43"/>
      <c r="D8" s="42"/>
      <c r="E8" s="43"/>
      <c r="F8" s="43"/>
      <c r="G8" s="48">
        <v>0</v>
      </c>
      <c r="H8" s="48">
        <v>76073.849545454548</v>
      </c>
      <c r="I8" s="50"/>
    </row>
    <row r="9" spans="1:9" x14ac:dyDescent="0.2">
      <c r="A9" s="40"/>
      <c r="B9" s="41"/>
      <c r="C9" s="43"/>
      <c r="D9" s="42"/>
      <c r="E9" s="43"/>
      <c r="F9" s="43"/>
      <c r="G9" s="48">
        <v>0</v>
      </c>
      <c r="H9" s="48">
        <v>76073.849545454548</v>
      </c>
      <c r="I9" s="50"/>
    </row>
    <row r="10" spans="1:9" x14ac:dyDescent="0.2">
      <c r="A10" s="40"/>
      <c r="B10" s="41"/>
      <c r="C10" s="43"/>
      <c r="D10" s="42"/>
      <c r="E10" s="43"/>
      <c r="F10" s="43"/>
      <c r="G10" s="48">
        <v>0</v>
      </c>
      <c r="H10" s="48"/>
      <c r="I10" s="50"/>
    </row>
    <row r="11" spans="1:9" x14ac:dyDescent="0.2">
      <c r="A11" s="40">
        <v>2</v>
      </c>
      <c r="B11" s="129" t="s">
        <v>65</v>
      </c>
      <c r="C11" s="124">
        <v>31266</v>
      </c>
      <c r="D11" s="128" t="s">
        <v>938</v>
      </c>
      <c r="E11" s="124" t="s">
        <v>657</v>
      </c>
      <c r="F11" s="124">
        <v>1.1200000000000001</v>
      </c>
      <c r="G11" s="125">
        <v>85202.711490909103</v>
      </c>
      <c r="H11" s="125">
        <v>76073.849545454548</v>
      </c>
      <c r="I11" s="126">
        <v>355074.69275340909</v>
      </c>
    </row>
    <row r="12" spans="1:9" x14ac:dyDescent="0.2">
      <c r="A12" s="40"/>
      <c r="B12" s="129"/>
      <c r="C12" s="124"/>
      <c r="D12" s="128" t="s">
        <v>939</v>
      </c>
      <c r="E12" s="124" t="s">
        <v>657</v>
      </c>
      <c r="F12" s="124">
        <v>1.17875</v>
      </c>
      <c r="G12" s="125">
        <v>89672.050151704549</v>
      </c>
      <c r="H12" s="125">
        <v>76073.849545454548</v>
      </c>
      <c r="I12" s="126"/>
    </row>
    <row r="13" spans="1:9" x14ac:dyDescent="0.2">
      <c r="A13" s="40"/>
      <c r="B13" s="129"/>
      <c r="C13" s="124"/>
      <c r="D13" s="124" t="s">
        <v>940</v>
      </c>
      <c r="E13" s="124" t="s">
        <v>657</v>
      </c>
      <c r="F13" s="124">
        <v>1.1812499999999999</v>
      </c>
      <c r="G13" s="125">
        <v>89862.234775568184</v>
      </c>
      <c r="H13" s="125">
        <v>76073.849545454548</v>
      </c>
      <c r="I13" s="126"/>
    </row>
    <row r="14" spans="1:9" x14ac:dyDescent="0.2">
      <c r="A14" s="40"/>
      <c r="B14" s="129"/>
      <c r="C14" s="124"/>
      <c r="D14" s="128" t="s">
        <v>941</v>
      </c>
      <c r="E14" s="124" t="s">
        <v>657</v>
      </c>
      <c r="F14" s="124">
        <v>1.1875</v>
      </c>
      <c r="G14" s="125">
        <v>90337.696335227272</v>
      </c>
      <c r="H14" s="125">
        <v>76073.849545454548</v>
      </c>
      <c r="I14" s="126"/>
    </row>
    <row r="15" spans="1:9" x14ac:dyDescent="0.2">
      <c r="A15" s="40"/>
      <c r="B15" s="41"/>
      <c r="C15" s="43"/>
      <c r="D15" s="44"/>
      <c r="E15" s="43"/>
      <c r="F15" s="43"/>
      <c r="G15" s="48">
        <v>0</v>
      </c>
      <c r="H15" s="48">
        <v>76073.849545454548</v>
      </c>
      <c r="I15" s="50"/>
    </row>
    <row r="16" spans="1:9" x14ac:dyDescent="0.2">
      <c r="A16" s="40"/>
      <c r="B16" s="41"/>
      <c r="C16" s="43"/>
      <c r="D16" s="44"/>
      <c r="E16" s="43"/>
      <c r="F16" s="43"/>
      <c r="G16" s="48">
        <v>0</v>
      </c>
      <c r="H16" s="48">
        <v>76073.849545454548</v>
      </c>
      <c r="I16" s="50"/>
    </row>
    <row r="17" spans="1:9" x14ac:dyDescent="0.2">
      <c r="A17" s="40"/>
      <c r="B17" s="41"/>
      <c r="C17" s="43"/>
      <c r="D17" s="44"/>
      <c r="E17" s="43"/>
      <c r="F17" s="43"/>
      <c r="G17" s="48">
        <v>0</v>
      </c>
      <c r="H17" s="48"/>
      <c r="I17" s="50"/>
    </row>
    <row r="18" spans="1:9" x14ac:dyDescent="0.2">
      <c r="A18" s="40">
        <v>3</v>
      </c>
      <c r="B18" s="129" t="s">
        <v>69</v>
      </c>
      <c r="C18" s="124">
        <v>31331</v>
      </c>
      <c r="D18" s="128" t="s">
        <v>942</v>
      </c>
      <c r="E18" s="124" t="s">
        <v>657</v>
      </c>
      <c r="F18" s="124">
        <v>1</v>
      </c>
      <c r="G18" s="125">
        <v>76073.849545454548</v>
      </c>
      <c r="H18" s="125">
        <v>76073.849545454548</v>
      </c>
      <c r="I18" s="126">
        <v>228221.54863636364</v>
      </c>
    </row>
    <row r="19" spans="1:9" x14ac:dyDescent="0.2">
      <c r="A19" s="40"/>
      <c r="B19" s="129"/>
      <c r="C19" s="124"/>
      <c r="D19" s="124" t="s">
        <v>943</v>
      </c>
      <c r="E19" s="124" t="s">
        <v>657</v>
      </c>
      <c r="F19" s="124">
        <v>1</v>
      </c>
      <c r="G19" s="125">
        <v>76073.849545454548</v>
      </c>
      <c r="H19" s="125">
        <v>76073.849545454548</v>
      </c>
      <c r="I19" s="126"/>
    </row>
    <row r="20" spans="1:9" x14ac:dyDescent="0.2">
      <c r="A20" s="40"/>
      <c r="B20" s="129"/>
      <c r="C20" s="124"/>
      <c r="D20" s="124" t="s">
        <v>944</v>
      </c>
      <c r="E20" s="124" t="s">
        <v>657</v>
      </c>
      <c r="F20" s="124">
        <v>1</v>
      </c>
      <c r="G20" s="125">
        <v>76073.849545454548</v>
      </c>
      <c r="H20" s="125">
        <v>76073.849545454548</v>
      </c>
      <c r="I20" s="126"/>
    </row>
    <row r="21" spans="1:9" x14ac:dyDescent="0.2">
      <c r="A21" s="40"/>
      <c r="B21" s="41"/>
      <c r="C21" s="43"/>
      <c r="D21" s="44"/>
      <c r="E21" s="43"/>
      <c r="F21" s="43"/>
      <c r="G21" s="48">
        <v>0</v>
      </c>
      <c r="H21" s="48">
        <v>76073.849545454548</v>
      </c>
      <c r="I21" s="50"/>
    </row>
    <row r="22" spans="1:9" x14ac:dyDescent="0.2">
      <c r="A22" s="40"/>
      <c r="B22" s="41"/>
      <c r="C22" s="43"/>
      <c r="D22" s="44"/>
      <c r="E22" s="43"/>
      <c r="F22" s="43"/>
      <c r="G22" s="48">
        <v>0</v>
      </c>
      <c r="H22" s="48">
        <v>76073.849545454548</v>
      </c>
      <c r="I22" s="50"/>
    </row>
    <row r="23" spans="1:9" x14ac:dyDescent="0.2">
      <c r="A23" s="40"/>
      <c r="B23" s="41"/>
      <c r="C23" s="43"/>
      <c r="D23" s="44"/>
      <c r="E23" s="43"/>
      <c r="F23" s="43"/>
      <c r="G23" s="48">
        <v>0</v>
      </c>
      <c r="H23" s="48">
        <v>76073.849545454548</v>
      </c>
      <c r="I23" s="50"/>
    </row>
    <row r="24" spans="1:9" x14ac:dyDescent="0.2">
      <c r="A24" s="40"/>
      <c r="B24" s="41"/>
      <c r="C24" s="43"/>
      <c r="D24" s="44"/>
      <c r="E24" s="43"/>
      <c r="F24" s="43"/>
      <c r="G24" s="48">
        <v>0</v>
      </c>
      <c r="H24" s="48">
        <v>76073.849545454548</v>
      </c>
      <c r="I24" s="50"/>
    </row>
    <row r="25" spans="1:9" x14ac:dyDescent="0.2">
      <c r="A25" s="40">
        <v>4</v>
      </c>
      <c r="B25" s="41" t="s">
        <v>71</v>
      </c>
      <c r="C25" s="43">
        <v>31334</v>
      </c>
      <c r="D25" s="44"/>
      <c r="E25" s="43"/>
      <c r="F25" s="43"/>
      <c r="G25" s="48">
        <v>0</v>
      </c>
      <c r="H25" s="48">
        <v>99481.188181818186</v>
      </c>
      <c r="I25" s="50">
        <v>0</v>
      </c>
    </row>
    <row r="26" spans="1:9" x14ac:dyDescent="0.2">
      <c r="A26" s="40"/>
      <c r="B26" s="41"/>
      <c r="C26" s="43"/>
      <c r="D26" s="43"/>
      <c r="E26" s="43"/>
      <c r="F26" s="43"/>
      <c r="G26" s="48">
        <v>0</v>
      </c>
      <c r="H26" s="48">
        <v>99481.188181818186</v>
      </c>
      <c r="I26" s="50"/>
    </row>
    <row r="27" spans="1:9" x14ac:dyDescent="0.2">
      <c r="A27" s="40"/>
      <c r="B27" s="41"/>
      <c r="C27" s="43"/>
      <c r="D27" s="43"/>
      <c r="E27" s="43"/>
      <c r="F27" s="43"/>
      <c r="G27" s="48">
        <v>0</v>
      </c>
      <c r="H27" s="48">
        <v>99481.188181818186</v>
      </c>
      <c r="I27" s="50"/>
    </row>
    <row r="28" spans="1:9" x14ac:dyDescent="0.2">
      <c r="A28" s="40"/>
      <c r="B28" s="41"/>
      <c r="C28" s="47"/>
      <c r="D28" s="44"/>
      <c r="E28" s="43"/>
      <c r="F28" s="43"/>
      <c r="G28" s="48">
        <v>0</v>
      </c>
      <c r="H28" s="48">
        <v>99481.188181818186</v>
      </c>
      <c r="I28" s="50"/>
    </row>
    <row r="29" spans="1:9" x14ac:dyDescent="0.2">
      <c r="A29" s="40"/>
      <c r="B29" s="41"/>
      <c r="C29" s="47"/>
      <c r="D29" s="44"/>
      <c r="E29" s="43"/>
      <c r="F29" s="43"/>
      <c r="G29" s="48">
        <v>0</v>
      </c>
      <c r="H29" s="48">
        <v>99481.188181818186</v>
      </c>
      <c r="I29" s="50"/>
    </row>
    <row r="30" spans="1:9" x14ac:dyDescent="0.2">
      <c r="A30" s="40"/>
      <c r="B30" s="41"/>
      <c r="C30" s="47"/>
      <c r="D30" s="44"/>
      <c r="E30" s="43"/>
      <c r="F30" s="43"/>
      <c r="G30" s="48">
        <v>0</v>
      </c>
      <c r="H30" s="48">
        <v>99481.188181818186</v>
      </c>
      <c r="I30" s="50"/>
    </row>
    <row r="31" spans="1:9" x14ac:dyDescent="0.2">
      <c r="A31" s="40"/>
      <c r="B31" s="41"/>
      <c r="C31" s="47"/>
      <c r="D31" s="44"/>
      <c r="E31" s="43"/>
      <c r="F31" s="43"/>
      <c r="G31" s="48">
        <v>0</v>
      </c>
      <c r="H31" s="48">
        <v>99481.188181818201</v>
      </c>
      <c r="I31" s="50"/>
    </row>
    <row r="32" spans="1:9" x14ac:dyDescent="0.2">
      <c r="A32" s="40">
        <v>5</v>
      </c>
      <c r="B32" s="129" t="s">
        <v>73</v>
      </c>
      <c r="C32" s="127">
        <v>31339</v>
      </c>
      <c r="D32" s="128" t="s">
        <v>939</v>
      </c>
      <c r="E32" s="124" t="s">
        <v>657</v>
      </c>
      <c r="F32" s="124">
        <v>0.88250000000000006</v>
      </c>
      <c r="G32" s="125">
        <v>67135.172223863643</v>
      </c>
      <c r="H32" s="125">
        <v>76073.849545454548</v>
      </c>
      <c r="I32" s="126">
        <v>159945.26866931817</v>
      </c>
    </row>
    <row r="33" spans="1:9" x14ac:dyDescent="0.2">
      <c r="A33" s="40"/>
      <c r="B33" s="129"/>
      <c r="C33" s="127"/>
      <c r="D33" s="124" t="s">
        <v>941</v>
      </c>
      <c r="E33" s="124" t="s">
        <v>657</v>
      </c>
      <c r="F33" s="124">
        <v>1.2199999999999998</v>
      </c>
      <c r="G33" s="125">
        <v>92810.096445454532</v>
      </c>
      <c r="H33" s="125">
        <v>76073.849545454548</v>
      </c>
      <c r="I33" s="126"/>
    </row>
    <row r="34" spans="1:9" x14ac:dyDescent="0.2">
      <c r="A34" s="40"/>
      <c r="B34" s="41"/>
      <c r="C34" s="47"/>
      <c r="D34" s="43"/>
      <c r="E34" s="43"/>
      <c r="F34" s="43"/>
      <c r="G34" s="48">
        <v>0</v>
      </c>
      <c r="H34" s="48">
        <v>76073.849545454548</v>
      </c>
      <c r="I34" s="50"/>
    </row>
    <row r="35" spans="1:9" x14ac:dyDescent="0.2">
      <c r="A35" s="40">
        <v>6</v>
      </c>
      <c r="B35" s="129" t="s">
        <v>75</v>
      </c>
      <c r="C35" s="124">
        <v>31344</v>
      </c>
      <c r="D35" s="128" t="s">
        <v>938</v>
      </c>
      <c r="E35" s="124" t="s">
        <v>657</v>
      </c>
      <c r="F35" s="124">
        <v>1.3075000000000001</v>
      </c>
      <c r="G35" s="125">
        <v>99466.558280681827</v>
      </c>
      <c r="H35" s="125">
        <v>76073.849545454548</v>
      </c>
      <c r="I35" s="126">
        <v>131132.29815397729</v>
      </c>
    </row>
    <row r="36" spans="1:9" x14ac:dyDescent="0.2">
      <c r="A36" s="40"/>
      <c r="B36" s="129"/>
      <c r="C36" s="124"/>
      <c r="D36" s="128" t="s">
        <v>945</v>
      </c>
      <c r="E36" s="124" t="s">
        <v>662</v>
      </c>
      <c r="F36" s="124">
        <v>0.1262500000000002</v>
      </c>
      <c r="G36" s="125">
        <v>9604.3235051136453</v>
      </c>
      <c r="H36" s="125">
        <v>76073.849545454505</v>
      </c>
      <c r="I36" s="126"/>
    </row>
    <row r="37" spans="1:9" x14ac:dyDescent="0.2">
      <c r="A37" s="40"/>
      <c r="B37" s="129"/>
      <c r="C37" s="124"/>
      <c r="D37" s="128" t="s">
        <v>946</v>
      </c>
      <c r="E37" s="124" t="s">
        <v>662</v>
      </c>
      <c r="F37" s="124">
        <v>0.29000000000000004</v>
      </c>
      <c r="G37" s="125">
        <v>22061.416368181821</v>
      </c>
      <c r="H37" s="125">
        <v>76073.849545454548</v>
      </c>
      <c r="I37" s="126"/>
    </row>
    <row r="38" spans="1:9" x14ac:dyDescent="0.2">
      <c r="A38" s="40"/>
      <c r="B38" s="41"/>
      <c r="C38" s="43"/>
      <c r="D38" s="44"/>
      <c r="E38" s="43"/>
      <c r="F38" s="43"/>
      <c r="G38" s="48">
        <v>0</v>
      </c>
      <c r="H38" s="48">
        <v>76073.849545454548</v>
      </c>
      <c r="I38" s="50"/>
    </row>
    <row r="39" spans="1:9" x14ac:dyDescent="0.2">
      <c r="A39" s="40"/>
      <c r="B39" s="41"/>
      <c r="C39" s="43"/>
      <c r="D39" s="44"/>
      <c r="E39" s="43"/>
      <c r="F39" s="43"/>
      <c r="G39" s="48">
        <v>0</v>
      </c>
      <c r="H39" s="48">
        <v>76073.849545454548</v>
      </c>
      <c r="I39" s="50"/>
    </row>
    <row r="40" spans="1:9" x14ac:dyDescent="0.2">
      <c r="A40" s="40"/>
      <c r="B40" s="41"/>
      <c r="C40" s="43"/>
      <c r="D40" s="43"/>
      <c r="E40" s="43"/>
      <c r="F40" s="43"/>
      <c r="G40" s="48">
        <v>0</v>
      </c>
      <c r="H40" s="48">
        <v>76073.849545454505</v>
      </c>
      <c r="I40" s="50"/>
    </row>
    <row r="41" spans="1:9" x14ac:dyDescent="0.2">
      <c r="A41" s="40"/>
      <c r="B41" s="41"/>
      <c r="C41" s="43"/>
      <c r="D41" s="44"/>
      <c r="E41" s="43"/>
      <c r="F41" s="43"/>
      <c r="G41" s="48">
        <v>0</v>
      </c>
      <c r="H41" s="48">
        <v>76073.849545454505</v>
      </c>
      <c r="I41" s="50"/>
    </row>
    <row r="42" spans="1:9" x14ac:dyDescent="0.2">
      <c r="A42" s="40"/>
      <c r="B42" s="41"/>
      <c r="C42" s="43"/>
      <c r="D42" s="44"/>
      <c r="E42" s="43"/>
      <c r="F42" s="43"/>
      <c r="G42" s="48">
        <v>0</v>
      </c>
      <c r="H42" s="48">
        <v>76073.849545454505</v>
      </c>
      <c r="I42" s="50"/>
    </row>
    <row r="43" spans="1:9" x14ac:dyDescent="0.2">
      <c r="A43" s="40">
        <v>7</v>
      </c>
      <c r="B43" s="129" t="s">
        <v>79</v>
      </c>
      <c r="C43" s="124">
        <v>31450</v>
      </c>
      <c r="D43" s="128" t="s">
        <v>938</v>
      </c>
      <c r="E43" s="124" t="s">
        <v>657</v>
      </c>
      <c r="F43" s="124">
        <v>1</v>
      </c>
      <c r="G43" s="125">
        <v>76073.849545454548</v>
      </c>
      <c r="H43" s="125">
        <v>76073.849545454548</v>
      </c>
      <c r="I43" s="126">
        <v>228221.54863636364</v>
      </c>
    </row>
    <row r="44" spans="1:9" x14ac:dyDescent="0.2">
      <c r="A44" s="40"/>
      <c r="B44" s="129" t="s">
        <v>655</v>
      </c>
      <c r="C44" s="124"/>
      <c r="D44" s="128" t="s">
        <v>947</v>
      </c>
      <c r="E44" s="124" t="s">
        <v>657</v>
      </c>
      <c r="F44" s="124">
        <v>1</v>
      </c>
      <c r="G44" s="125">
        <v>76073.849545454548</v>
      </c>
      <c r="H44" s="125">
        <v>76073.849545454548</v>
      </c>
      <c r="I44" s="126"/>
    </row>
    <row r="45" spans="1:9" x14ac:dyDescent="0.2">
      <c r="A45" s="40"/>
      <c r="B45" s="129"/>
      <c r="C45" s="124"/>
      <c r="D45" s="128" t="s">
        <v>948</v>
      </c>
      <c r="E45" s="124" t="s">
        <v>657</v>
      </c>
      <c r="F45" s="124">
        <v>1</v>
      </c>
      <c r="G45" s="125">
        <v>76073.849545454548</v>
      </c>
      <c r="H45" s="125">
        <v>76073.849545454548</v>
      </c>
      <c r="I45" s="126"/>
    </row>
    <row r="46" spans="1:9" x14ac:dyDescent="0.2">
      <c r="A46" s="40">
        <v>8</v>
      </c>
      <c r="B46" s="129" t="s">
        <v>91</v>
      </c>
      <c r="C46" s="124">
        <v>31463</v>
      </c>
      <c r="D46" s="128"/>
      <c r="E46" s="124" t="s">
        <v>660</v>
      </c>
      <c r="F46" s="124"/>
      <c r="G46" s="125">
        <v>0</v>
      </c>
      <c r="H46" s="125"/>
      <c r="I46" s="126">
        <v>397894</v>
      </c>
    </row>
    <row r="47" spans="1:9" x14ac:dyDescent="0.2">
      <c r="A47" s="40"/>
      <c r="B47" s="41"/>
      <c r="C47" s="43"/>
      <c r="D47" s="44"/>
      <c r="E47" s="43"/>
      <c r="F47" s="43"/>
      <c r="G47" s="48">
        <v>0</v>
      </c>
      <c r="H47" s="48">
        <v>76073.849545454548</v>
      </c>
      <c r="I47" s="50"/>
    </row>
    <row r="48" spans="1:9" x14ac:dyDescent="0.2">
      <c r="A48" s="40">
        <v>9</v>
      </c>
      <c r="B48" s="129" t="s">
        <v>95</v>
      </c>
      <c r="C48" s="124">
        <v>31465</v>
      </c>
      <c r="D48" s="128"/>
      <c r="E48" s="124" t="s">
        <v>660</v>
      </c>
      <c r="F48" s="124"/>
      <c r="G48" s="125"/>
      <c r="H48" s="125"/>
      <c r="I48" s="126">
        <v>483157</v>
      </c>
    </row>
    <row r="49" spans="1:9" x14ac:dyDescent="0.2">
      <c r="A49" s="40"/>
      <c r="B49" s="41"/>
      <c r="C49" s="43"/>
      <c r="D49" s="43"/>
      <c r="E49" s="43"/>
      <c r="F49" s="43"/>
      <c r="G49" s="48">
        <v>0</v>
      </c>
      <c r="H49" s="48">
        <v>76073.849545454548</v>
      </c>
      <c r="I49" s="50"/>
    </row>
    <row r="50" spans="1:9" x14ac:dyDescent="0.2">
      <c r="A50" s="40"/>
      <c r="B50" s="41"/>
      <c r="C50" s="43"/>
      <c r="D50" s="44"/>
      <c r="E50" s="43"/>
      <c r="F50" s="43"/>
      <c r="G50" s="48">
        <v>0</v>
      </c>
      <c r="H50" s="48">
        <v>76073.849545454548</v>
      </c>
      <c r="I50" s="50"/>
    </row>
    <row r="51" spans="1:9" x14ac:dyDescent="0.2">
      <c r="A51" s="40">
        <v>10</v>
      </c>
      <c r="B51" s="129" t="s">
        <v>97</v>
      </c>
      <c r="C51" s="124">
        <v>34110</v>
      </c>
      <c r="D51" s="128" t="s">
        <v>948</v>
      </c>
      <c r="E51" s="124" t="s">
        <v>662</v>
      </c>
      <c r="F51" s="124">
        <v>0.25999999999999979</v>
      </c>
      <c r="G51" s="125">
        <v>21300.677863636349</v>
      </c>
      <c r="H51" s="125">
        <v>81925.684090909097</v>
      </c>
      <c r="I51" s="126">
        <v>108346.71721022726</v>
      </c>
    </row>
    <row r="52" spans="1:9" x14ac:dyDescent="0.2">
      <c r="A52" s="40"/>
      <c r="B52" s="129"/>
      <c r="C52" s="124"/>
      <c r="D52" s="128" t="s">
        <v>941</v>
      </c>
      <c r="E52" s="124" t="s">
        <v>657</v>
      </c>
      <c r="F52" s="124">
        <v>1.0625</v>
      </c>
      <c r="G52" s="125">
        <v>87046.039346590915</v>
      </c>
      <c r="H52" s="125">
        <v>81925.684090909097</v>
      </c>
      <c r="I52" s="126"/>
    </row>
    <row r="53" spans="1:9" x14ac:dyDescent="0.2">
      <c r="A53" s="40"/>
      <c r="B53" s="41"/>
      <c r="C53" s="43"/>
      <c r="D53" s="44"/>
      <c r="E53" s="43"/>
      <c r="F53" s="43"/>
      <c r="G53" s="48">
        <v>0</v>
      </c>
      <c r="H53" s="48">
        <v>81925.684090909097</v>
      </c>
      <c r="I53" s="50"/>
    </row>
    <row r="54" spans="1:9" x14ac:dyDescent="0.2">
      <c r="A54" s="40"/>
      <c r="B54" s="41"/>
      <c r="C54" s="43"/>
      <c r="D54" s="44"/>
      <c r="E54" s="43"/>
      <c r="F54" s="43"/>
      <c r="G54" s="48">
        <v>0</v>
      </c>
      <c r="H54" s="48">
        <v>81925.684090909097</v>
      </c>
      <c r="I54" s="50"/>
    </row>
    <row r="55" spans="1:9" x14ac:dyDescent="0.2">
      <c r="A55" s="40">
        <v>11</v>
      </c>
      <c r="B55" s="41" t="s">
        <v>99</v>
      </c>
      <c r="C55" s="43">
        <v>34114</v>
      </c>
      <c r="D55" s="43"/>
      <c r="E55" s="43"/>
      <c r="F55" s="43"/>
      <c r="G55" s="48">
        <v>0</v>
      </c>
      <c r="H55" s="48">
        <v>99481.188181818186</v>
      </c>
      <c r="I55" s="50">
        <v>0</v>
      </c>
    </row>
    <row r="56" spans="1:9" x14ac:dyDescent="0.2">
      <c r="A56" s="40"/>
      <c r="B56" s="41"/>
      <c r="C56" s="43"/>
      <c r="D56" s="44"/>
      <c r="E56" s="43"/>
      <c r="F56" s="43"/>
      <c r="G56" s="48">
        <v>0</v>
      </c>
      <c r="H56" s="48">
        <v>99481.188181818186</v>
      </c>
      <c r="I56" s="50"/>
    </row>
    <row r="57" spans="1:9" x14ac:dyDescent="0.2">
      <c r="A57" s="40"/>
      <c r="B57" s="41"/>
      <c r="C57" s="43"/>
      <c r="D57" s="44"/>
      <c r="E57" s="43"/>
      <c r="F57" s="43"/>
      <c r="G57" s="48">
        <v>0</v>
      </c>
      <c r="H57" s="48">
        <v>99481.188181818186</v>
      </c>
      <c r="I57" s="50"/>
    </row>
    <row r="58" spans="1:9" x14ac:dyDescent="0.2">
      <c r="A58" s="40"/>
      <c r="B58" s="41"/>
      <c r="C58" s="43"/>
      <c r="D58" s="44"/>
      <c r="E58" s="43"/>
      <c r="F58" s="43"/>
      <c r="G58" s="48">
        <v>0</v>
      </c>
      <c r="H58" s="48">
        <v>99481.188181818186</v>
      </c>
      <c r="I58" s="50"/>
    </row>
    <row r="59" spans="1:9" x14ac:dyDescent="0.2">
      <c r="A59" s="40"/>
      <c r="B59" s="41"/>
      <c r="C59" s="43"/>
      <c r="D59" s="44"/>
      <c r="E59" s="43"/>
      <c r="F59" s="43"/>
      <c r="G59" s="48">
        <v>0</v>
      </c>
      <c r="H59" s="48">
        <v>99481.188181818186</v>
      </c>
      <c r="I59" s="50"/>
    </row>
    <row r="60" spans="1:9" x14ac:dyDescent="0.2">
      <c r="A60" s="40"/>
      <c r="B60" s="41"/>
      <c r="C60" s="43"/>
      <c r="D60" s="44"/>
      <c r="E60" s="43"/>
      <c r="F60" s="43"/>
      <c r="G60" s="48">
        <v>0</v>
      </c>
      <c r="H60" s="48">
        <v>99481.188181818186</v>
      </c>
      <c r="I60" s="50"/>
    </row>
    <row r="61" spans="1:9" x14ac:dyDescent="0.2">
      <c r="A61" s="40">
        <v>12</v>
      </c>
      <c r="B61" s="129" t="s">
        <v>101</v>
      </c>
      <c r="C61" s="124">
        <v>34117</v>
      </c>
      <c r="D61" s="128" t="s">
        <v>949</v>
      </c>
      <c r="E61" s="124" t="s">
        <v>658</v>
      </c>
      <c r="F61" s="124">
        <v>1</v>
      </c>
      <c r="G61" s="125">
        <v>76073.849545454548</v>
      </c>
      <c r="H61" s="125">
        <v>76073.849545454548</v>
      </c>
      <c r="I61" s="126">
        <v>76073.849545454548</v>
      </c>
    </row>
    <row r="62" spans="1:9" x14ac:dyDescent="0.2">
      <c r="A62" s="40"/>
      <c r="B62" s="41"/>
      <c r="C62" s="43"/>
      <c r="D62" s="45"/>
      <c r="E62" s="43"/>
      <c r="F62" s="43"/>
      <c r="G62" s="48">
        <v>0</v>
      </c>
      <c r="H62" s="48">
        <v>76073.849545454505</v>
      </c>
      <c r="I62" s="50"/>
    </row>
    <row r="63" spans="1:9" x14ac:dyDescent="0.2">
      <c r="A63" s="40"/>
      <c r="B63" s="41"/>
      <c r="C63" s="43"/>
      <c r="D63" s="44"/>
      <c r="E63" s="43"/>
      <c r="F63" s="43"/>
      <c r="G63" s="48">
        <v>0</v>
      </c>
      <c r="H63" s="48">
        <v>76073.849545454505</v>
      </c>
      <c r="I63" s="50"/>
    </row>
    <row r="64" spans="1:9" x14ac:dyDescent="0.2">
      <c r="A64" s="40"/>
      <c r="B64" s="41"/>
      <c r="C64" s="43"/>
      <c r="D64" s="43"/>
      <c r="E64" s="43"/>
      <c r="F64" s="43"/>
      <c r="G64" s="48">
        <v>0</v>
      </c>
      <c r="H64" s="48">
        <v>76073.849545454548</v>
      </c>
      <c r="I64" s="50"/>
    </row>
    <row r="65" spans="1:9" x14ac:dyDescent="0.2">
      <c r="A65" s="40"/>
      <c r="B65" s="41"/>
      <c r="C65" s="43"/>
      <c r="D65" s="43"/>
      <c r="E65" s="43"/>
      <c r="F65" s="43"/>
      <c r="G65" s="48">
        <v>0</v>
      </c>
      <c r="H65" s="48">
        <v>76073.849545454548</v>
      </c>
      <c r="I65" s="50"/>
    </row>
    <row r="66" spans="1:9" x14ac:dyDescent="0.2">
      <c r="A66" s="40"/>
      <c r="B66" s="41"/>
      <c r="C66" s="43"/>
      <c r="D66" s="45"/>
      <c r="E66" s="43"/>
      <c r="F66" s="43"/>
      <c r="G66" s="48">
        <v>0</v>
      </c>
      <c r="H66" s="48">
        <v>76073.849545454548</v>
      </c>
      <c r="I66" s="50"/>
    </row>
    <row r="67" spans="1:9" x14ac:dyDescent="0.2">
      <c r="A67" s="40"/>
      <c r="B67" s="41"/>
      <c r="C67" s="43"/>
      <c r="D67" s="45"/>
      <c r="E67" s="43"/>
      <c r="F67" s="43"/>
      <c r="G67" s="48">
        <v>0</v>
      </c>
      <c r="H67" s="48">
        <v>76073.849545454548</v>
      </c>
      <c r="I67" s="50"/>
    </row>
    <row r="68" spans="1:9" x14ac:dyDescent="0.2">
      <c r="A68" s="40"/>
      <c r="B68" s="41"/>
      <c r="C68" s="43"/>
      <c r="D68" s="45"/>
      <c r="E68" s="43"/>
      <c r="F68" s="43"/>
      <c r="G68" s="48">
        <v>0</v>
      </c>
      <c r="H68" s="48">
        <v>76073.849545454548</v>
      </c>
      <c r="I68" s="50"/>
    </row>
    <row r="69" spans="1:9" x14ac:dyDescent="0.2">
      <c r="A69" s="40">
        <v>13</v>
      </c>
      <c r="B69" s="129" t="s">
        <v>103</v>
      </c>
      <c r="C69" s="124">
        <v>35116</v>
      </c>
      <c r="D69" s="130" t="s">
        <v>950</v>
      </c>
      <c r="E69" s="124" t="s">
        <v>662</v>
      </c>
      <c r="F69" s="124">
        <v>0.79375000000000018</v>
      </c>
      <c r="G69" s="125">
        <v>60383.618076704559</v>
      </c>
      <c r="H69" s="125">
        <v>76073.849545454548</v>
      </c>
      <c r="I69" s="126">
        <v>151862.4221551136</v>
      </c>
    </row>
    <row r="70" spans="1:9" x14ac:dyDescent="0.2">
      <c r="A70" s="40"/>
      <c r="B70" s="129"/>
      <c r="C70" s="124"/>
      <c r="D70" s="130" t="s">
        <v>942</v>
      </c>
      <c r="E70" s="124" t="s">
        <v>662</v>
      </c>
      <c r="F70" s="124">
        <v>0.39000000000000012</v>
      </c>
      <c r="G70" s="125">
        <v>29668.801322727268</v>
      </c>
      <c r="H70" s="125">
        <v>76073.849545454505</v>
      </c>
      <c r="I70" s="126"/>
    </row>
    <row r="71" spans="1:9" x14ac:dyDescent="0.2">
      <c r="A71" s="40"/>
      <c r="B71" s="129"/>
      <c r="C71" s="124"/>
      <c r="D71" s="130" t="s">
        <v>945</v>
      </c>
      <c r="E71" s="124" t="s">
        <v>662</v>
      </c>
      <c r="F71" s="124">
        <v>0.29749999999999988</v>
      </c>
      <c r="G71" s="125">
        <v>22631.970239772705</v>
      </c>
      <c r="H71" s="125">
        <v>76073.849545454505</v>
      </c>
      <c r="I71" s="126"/>
    </row>
    <row r="72" spans="1:9" x14ac:dyDescent="0.2">
      <c r="A72" s="40"/>
      <c r="B72" s="129"/>
      <c r="C72" s="124"/>
      <c r="D72" s="130" t="s">
        <v>946</v>
      </c>
      <c r="E72" s="124" t="s">
        <v>662</v>
      </c>
      <c r="F72" s="124">
        <v>0.51500000000000012</v>
      </c>
      <c r="G72" s="125">
        <v>39178.032515909079</v>
      </c>
      <c r="H72" s="125">
        <v>76073.849545454505</v>
      </c>
      <c r="I72" s="126"/>
    </row>
    <row r="73" spans="1:9" x14ac:dyDescent="0.2">
      <c r="A73" s="40"/>
      <c r="B73" s="41"/>
      <c r="C73" s="43"/>
      <c r="D73" s="45"/>
      <c r="E73" s="43"/>
      <c r="F73" s="43"/>
      <c r="G73" s="48">
        <v>0</v>
      </c>
      <c r="H73" s="48">
        <v>76073.849545454505</v>
      </c>
      <c r="I73" s="50"/>
    </row>
    <row r="74" spans="1:9" x14ac:dyDescent="0.2">
      <c r="A74" s="40"/>
      <c r="B74" s="41"/>
      <c r="C74" s="43"/>
      <c r="D74" s="43"/>
      <c r="E74" s="43"/>
      <c r="F74" s="43"/>
      <c r="G74" s="48">
        <v>0</v>
      </c>
      <c r="H74" s="48">
        <v>76073.849545454505</v>
      </c>
      <c r="I74" s="50"/>
    </row>
    <row r="75" spans="1:9" x14ac:dyDescent="0.2">
      <c r="A75" s="40"/>
      <c r="B75" s="41"/>
      <c r="C75" s="43"/>
      <c r="D75" s="43"/>
      <c r="E75" s="43"/>
      <c r="F75" s="43"/>
      <c r="G75" s="48">
        <v>0</v>
      </c>
      <c r="H75" s="48">
        <v>76073.849545454505</v>
      </c>
      <c r="I75" s="50"/>
    </row>
    <row r="76" spans="1:9" x14ac:dyDescent="0.2">
      <c r="A76" s="40"/>
      <c r="B76" s="41"/>
      <c r="C76" s="43"/>
      <c r="D76" s="45"/>
      <c r="E76" s="43"/>
      <c r="F76" s="43"/>
      <c r="G76" s="48">
        <v>0</v>
      </c>
      <c r="H76" s="48">
        <v>76073.849545454505</v>
      </c>
      <c r="I76" s="50"/>
    </row>
    <row r="77" spans="1:9" x14ac:dyDescent="0.2">
      <c r="A77" s="40"/>
      <c r="B77" s="41"/>
      <c r="C77" s="43"/>
      <c r="D77" s="45"/>
      <c r="E77" s="43"/>
      <c r="F77" s="43"/>
      <c r="G77" s="48">
        <v>0</v>
      </c>
      <c r="H77" s="48">
        <v>76073.849545454505</v>
      </c>
      <c r="I77" s="50"/>
    </row>
    <row r="78" spans="1:9" x14ac:dyDescent="0.2">
      <c r="A78" s="40"/>
      <c r="B78" s="41"/>
      <c r="C78" s="43"/>
      <c r="D78" s="45"/>
      <c r="E78" s="43"/>
      <c r="F78" s="43"/>
      <c r="G78" s="48">
        <v>0</v>
      </c>
      <c r="H78" s="48">
        <v>76073.849545454505</v>
      </c>
      <c r="I78" s="50"/>
    </row>
    <row r="79" spans="1:9" x14ac:dyDescent="0.2">
      <c r="A79" s="40">
        <v>14</v>
      </c>
      <c r="B79" s="41" t="s">
        <v>105</v>
      </c>
      <c r="C79" s="43">
        <v>35121</v>
      </c>
      <c r="D79" s="45"/>
      <c r="E79" s="43"/>
      <c r="F79" s="43"/>
      <c r="G79" s="48">
        <v>0</v>
      </c>
      <c r="H79" s="48">
        <v>99481.188181818186</v>
      </c>
      <c r="I79" s="50">
        <v>0</v>
      </c>
    </row>
    <row r="80" spans="1:9" x14ac:dyDescent="0.2">
      <c r="A80" s="40"/>
      <c r="B80" s="41"/>
      <c r="C80" s="43"/>
      <c r="D80" s="42"/>
      <c r="E80" s="43"/>
      <c r="F80" s="43"/>
      <c r="G80" s="48">
        <v>0</v>
      </c>
      <c r="H80" s="48">
        <v>99481.188181818186</v>
      </c>
      <c r="I80" s="50"/>
    </row>
    <row r="81" spans="1:9" x14ac:dyDescent="0.2">
      <c r="A81" s="40"/>
      <c r="B81" s="41"/>
      <c r="C81" s="43"/>
      <c r="D81" s="43"/>
      <c r="E81" s="43"/>
      <c r="F81" s="43"/>
      <c r="G81" s="48">
        <v>0</v>
      </c>
      <c r="H81" s="48">
        <v>99481.188181818186</v>
      </c>
      <c r="I81" s="50"/>
    </row>
    <row r="82" spans="1:9" x14ac:dyDescent="0.2">
      <c r="A82" s="40"/>
      <c r="B82" s="41"/>
      <c r="C82" s="43"/>
      <c r="D82" s="44"/>
      <c r="E82" s="43"/>
      <c r="F82" s="43"/>
      <c r="G82" s="48">
        <v>0</v>
      </c>
      <c r="H82" s="48">
        <v>99481.188181818186</v>
      </c>
      <c r="I82" s="50"/>
    </row>
    <row r="83" spans="1:9" x14ac:dyDescent="0.2">
      <c r="A83" s="40"/>
      <c r="B83" s="41"/>
      <c r="C83" s="43"/>
      <c r="D83" s="44"/>
      <c r="E83" s="43"/>
      <c r="F83" s="43"/>
      <c r="G83" s="48">
        <v>0</v>
      </c>
      <c r="H83" s="48">
        <v>99481.188181818186</v>
      </c>
      <c r="I83" s="50"/>
    </row>
    <row r="84" spans="1:9" x14ac:dyDescent="0.2">
      <c r="A84" s="40"/>
      <c r="B84" s="41"/>
      <c r="C84" s="43"/>
      <c r="D84" s="44"/>
      <c r="E84" s="43"/>
      <c r="F84" s="43"/>
      <c r="G84" s="48">
        <v>0</v>
      </c>
      <c r="H84" s="48">
        <v>99481.188181818186</v>
      </c>
      <c r="I84" s="50"/>
    </row>
    <row r="85" spans="1:9" x14ac:dyDescent="0.2">
      <c r="A85" s="40"/>
      <c r="B85" s="41"/>
      <c r="C85" s="43"/>
      <c r="D85" s="44"/>
      <c r="E85" s="43"/>
      <c r="F85" s="43"/>
      <c r="G85" s="48">
        <v>0</v>
      </c>
      <c r="H85" s="48">
        <v>99481.188181818186</v>
      </c>
      <c r="I85" s="50"/>
    </row>
    <row r="86" spans="1:9" x14ac:dyDescent="0.2">
      <c r="A86" s="40"/>
      <c r="B86" s="41"/>
      <c r="C86" s="43"/>
      <c r="D86" s="44"/>
      <c r="E86" s="43"/>
      <c r="F86" s="43"/>
      <c r="G86" s="48">
        <v>0</v>
      </c>
      <c r="H86" s="48">
        <v>99481.188181818186</v>
      </c>
      <c r="I86" s="50"/>
    </row>
    <row r="87" spans="1:9" x14ac:dyDescent="0.2">
      <c r="A87" s="40">
        <v>15</v>
      </c>
      <c r="B87" s="129" t="s">
        <v>107</v>
      </c>
      <c r="C87" s="124">
        <v>35122</v>
      </c>
      <c r="D87" s="124" t="s">
        <v>908</v>
      </c>
      <c r="E87" s="124" t="s">
        <v>662</v>
      </c>
      <c r="F87" s="124">
        <v>0.25</v>
      </c>
      <c r="G87" s="125">
        <v>24870.297045454547</v>
      </c>
      <c r="H87" s="125">
        <v>99481.188181818186</v>
      </c>
      <c r="I87" s="126">
        <v>74610.891136363643</v>
      </c>
    </row>
    <row r="88" spans="1:9" x14ac:dyDescent="0.2">
      <c r="A88" s="40"/>
      <c r="B88" s="129"/>
      <c r="C88" s="124"/>
      <c r="D88" s="124" t="s">
        <v>900</v>
      </c>
      <c r="E88" s="124" t="s">
        <v>662</v>
      </c>
      <c r="F88" s="124">
        <v>0.5</v>
      </c>
      <c r="G88" s="125">
        <v>49740.594090909093</v>
      </c>
      <c r="H88" s="125">
        <v>99481.188181818186</v>
      </c>
      <c r="I88" s="126"/>
    </row>
    <row r="89" spans="1:9" x14ac:dyDescent="0.2">
      <c r="A89" s="40"/>
      <c r="B89" s="41"/>
      <c r="C89" s="43"/>
      <c r="D89" s="43"/>
      <c r="E89" s="43"/>
      <c r="F89" s="43"/>
      <c r="G89" s="48">
        <v>0</v>
      </c>
      <c r="H89" s="48">
        <v>99481.188181818201</v>
      </c>
      <c r="I89" s="50"/>
    </row>
    <row r="90" spans="1:9" x14ac:dyDescent="0.2">
      <c r="A90" s="40"/>
      <c r="B90" s="41"/>
      <c r="C90" s="43"/>
      <c r="D90" s="43"/>
      <c r="E90" s="43"/>
      <c r="F90" s="43"/>
      <c r="G90" s="48">
        <v>0</v>
      </c>
      <c r="H90" s="48">
        <v>99481.188181818186</v>
      </c>
      <c r="I90" s="50"/>
    </row>
    <row r="91" spans="1:9" x14ac:dyDescent="0.2">
      <c r="A91" s="40"/>
      <c r="B91" s="41"/>
      <c r="C91" s="43"/>
      <c r="D91" s="43"/>
      <c r="E91" s="43"/>
      <c r="F91" s="43"/>
      <c r="G91" s="48">
        <v>0</v>
      </c>
      <c r="H91" s="48">
        <v>99481.188181818186</v>
      </c>
      <c r="I91" s="50"/>
    </row>
    <row r="92" spans="1:9" x14ac:dyDescent="0.2">
      <c r="A92" s="40">
        <v>16</v>
      </c>
      <c r="B92" s="129" t="s">
        <v>111</v>
      </c>
      <c r="C92" s="124">
        <v>35133</v>
      </c>
      <c r="D92" s="124" t="s">
        <v>949</v>
      </c>
      <c r="E92" s="124" t="s">
        <v>657</v>
      </c>
      <c r="F92" s="124">
        <v>1</v>
      </c>
      <c r="G92" s="125">
        <v>67881.281363636357</v>
      </c>
      <c r="H92" s="125">
        <v>67881.281363636357</v>
      </c>
      <c r="I92" s="126">
        <v>271525.12545454543</v>
      </c>
    </row>
    <row r="93" spans="1:9" x14ac:dyDescent="0.2">
      <c r="A93" s="40"/>
      <c r="B93" s="129"/>
      <c r="C93" s="127"/>
      <c r="D93" s="128" t="s">
        <v>939</v>
      </c>
      <c r="E93" s="124" t="s">
        <v>657</v>
      </c>
      <c r="F93" s="124">
        <v>1</v>
      </c>
      <c r="G93" s="125">
        <v>67881.281363636357</v>
      </c>
      <c r="H93" s="125">
        <v>67881.281363636357</v>
      </c>
      <c r="I93" s="126"/>
    </row>
    <row r="94" spans="1:9" x14ac:dyDescent="0.2">
      <c r="A94" s="40"/>
      <c r="B94" s="129"/>
      <c r="C94" s="127"/>
      <c r="D94" s="128" t="s">
        <v>951</v>
      </c>
      <c r="E94" s="124" t="s">
        <v>657</v>
      </c>
      <c r="F94" s="124">
        <v>1</v>
      </c>
      <c r="G94" s="125">
        <v>67881.281363636357</v>
      </c>
      <c r="H94" s="125">
        <v>67881.281363636357</v>
      </c>
      <c r="I94" s="126"/>
    </row>
    <row r="95" spans="1:9" x14ac:dyDescent="0.2">
      <c r="A95" s="40"/>
      <c r="B95" s="129"/>
      <c r="C95" s="127"/>
      <c r="D95" s="128" t="s">
        <v>941</v>
      </c>
      <c r="E95" s="124" t="s">
        <v>657</v>
      </c>
      <c r="F95" s="124">
        <v>1</v>
      </c>
      <c r="G95" s="125">
        <v>67881.281363636357</v>
      </c>
      <c r="H95" s="125">
        <v>67881.281363636357</v>
      </c>
      <c r="I95" s="126"/>
    </row>
    <row r="96" spans="1:9" x14ac:dyDescent="0.2">
      <c r="A96" s="40"/>
      <c r="B96" s="41"/>
      <c r="C96" s="47"/>
      <c r="D96" s="44"/>
      <c r="E96" s="43"/>
      <c r="F96" s="43"/>
      <c r="G96" s="48">
        <v>0</v>
      </c>
      <c r="H96" s="48">
        <v>67881.281363636357</v>
      </c>
      <c r="I96" s="50"/>
    </row>
    <row r="97" spans="1:9" x14ac:dyDescent="0.2">
      <c r="A97" s="40">
        <v>17</v>
      </c>
      <c r="B97" s="129" t="s">
        <v>112</v>
      </c>
      <c r="C97" s="127">
        <v>35134</v>
      </c>
      <c r="D97" s="124" t="s">
        <v>938</v>
      </c>
      <c r="E97" s="124" t="s">
        <v>659</v>
      </c>
      <c r="F97" s="124">
        <v>1</v>
      </c>
      <c r="G97" s="125">
        <v>99481.188181818186</v>
      </c>
      <c r="H97" s="125">
        <v>99481.188181818186</v>
      </c>
      <c r="I97" s="126">
        <v>99481.188181818186</v>
      </c>
    </row>
    <row r="98" spans="1:9" x14ac:dyDescent="0.2">
      <c r="A98" s="40"/>
      <c r="B98" s="41"/>
      <c r="C98" s="47"/>
      <c r="D98" s="43"/>
      <c r="E98" s="43"/>
      <c r="F98" s="43"/>
      <c r="G98" s="48">
        <v>0</v>
      </c>
      <c r="H98" s="48">
        <v>99481.188181818186</v>
      </c>
      <c r="I98" s="50"/>
    </row>
    <row r="99" spans="1:9" x14ac:dyDescent="0.2">
      <c r="A99" s="40"/>
      <c r="B99" s="41"/>
      <c r="C99" s="47"/>
      <c r="D99" s="43"/>
      <c r="E99" s="43"/>
      <c r="F99" s="43"/>
      <c r="G99" s="48">
        <v>0</v>
      </c>
      <c r="H99" s="48">
        <v>99481.188181818186</v>
      </c>
      <c r="I99" s="50"/>
    </row>
    <row r="100" spans="1:9" x14ac:dyDescent="0.2">
      <c r="A100" s="40"/>
      <c r="B100" s="41"/>
      <c r="C100" s="43"/>
      <c r="D100" s="44"/>
      <c r="E100" s="43"/>
      <c r="F100" s="43"/>
      <c r="G100" s="48">
        <v>0</v>
      </c>
      <c r="H100" s="48">
        <v>99481.188181818186</v>
      </c>
      <c r="I100" s="50"/>
    </row>
    <row r="101" spans="1:9" x14ac:dyDescent="0.2">
      <c r="A101" s="40"/>
      <c r="B101" s="41"/>
      <c r="C101" s="43"/>
      <c r="D101" s="44"/>
      <c r="E101" s="43"/>
      <c r="F101" s="43"/>
      <c r="G101" s="48">
        <v>0</v>
      </c>
      <c r="H101" s="48">
        <v>99481.188181818186</v>
      </c>
      <c r="I101" s="50"/>
    </row>
    <row r="102" spans="1:9" x14ac:dyDescent="0.2">
      <c r="A102" s="40"/>
      <c r="B102" s="41"/>
      <c r="C102" s="43"/>
      <c r="D102" s="44"/>
      <c r="E102" s="43"/>
      <c r="F102" s="43"/>
      <c r="G102" s="48">
        <v>0</v>
      </c>
      <c r="H102" s="48">
        <v>99481.188181818201</v>
      </c>
      <c r="I102" s="50"/>
    </row>
    <row r="103" spans="1:9" x14ac:dyDescent="0.2">
      <c r="A103" s="40">
        <v>18</v>
      </c>
      <c r="B103" s="41" t="s">
        <v>114</v>
      </c>
      <c r="C103" s="43">
        <v>35136</v>
      </c>
      <c r="D103" s="44"/>
      <c r="E103" s="43"/>
      <c r="F103" s="43"/>
      <c r="G103" s="48">
        <v>0</v>
      </c>
      <c r="H103" s="48">
        <v>99481.188181818186</v>
      </c>
      <c r="I103" s="50">
        <v>0</v>
      </c>
    </row>
    <row r="104" spans="1:9" x14ac:dyDescent="0.2">
      <c r="A104" s="40">
        <v>19</v>
      </c>
      <c r="B104" s="41" t="s">
        <v>116</v>
      </c>
      <c r="C104" s="43">
        <v>35137</v>
      </c>
      <c r="D104" s="44"/>
      <c r="E104" s="43"/>
      <c r="F104" s="43"/>
      <c r="G104" s="48">
        <v>0</v>
      </c>
      <c r="H104" s="48">
        <v>99481.188181818186</v>
      </c>
      <c r="I104" s="50">
        <v>0</v>
      </c>
    </row>
    <row r="105" spans="1:9" x14ac:dyDescent="0.2">
      <c r="A105" s="40"/>
      <c r="B105" s="41"/>
      <c r="C105" s="43"/>
      <c r="D105" s="44"/>
      <c r="E105" s="43"/>
      <c r="F105" s="43"/>
      <c r="G105" s="48">
        <v>0</v>
      </c>
      <c r="H105" s="48">
        <v>99481.188181818186</v>
      </c>
      <c r="I105" s="50"/>
    </row>
    <row r="106" spans="1:9" x14ac:dyDescent="0.2">
      <c r="A106" s="40"/>
      <c r="B106" s="41"/>
      <c r="C106" s="43"/>
      <c r="D106" s="44"/>
      <c r="E106" s="43"/>
      <c r="F106" s="43"/>
      <c r="G106" s="48">
        <v>0</v>
      </c>
      <c r="H106" s="48">
        <v>99481.188181818186</v>
      </c>
      <c r="I106" s="50"/>
    </row>
    <row r="107" spans="1:9" x14ac:dyDescent="0.2">
      <c r="A107" s="40">
        <v>20</v>
      </c>
      <c r="B107" s="129" t="s">
        <v>118</v>
      </c>
      <c r="C107" s="124">
        <v>35138</v>
      </c>
      <c r="D107" s="128" t="s">
        <v>950</v>
      </c>
      <c r="E107" s="124" t="s">
        <v>662</v>
      </c>
      <c r="F107" s="124">
        <v>0.47</v>
      </c>
      <c r="G107" s="125">
        <v>46756.158445454545</v>
      </c>
      <c r="H107" s="125">
        <v>99481.188181818186</v>
      </c>
      <c r="I107" s="126">
        <v>71626.455490909095</v>
      </c>
    </row>
    <row r="108" spans="1:9" x14ac:dyDescent="0.2">
      <c r="A108" s="40"/>
      <c r="B108" s="129"/>
      <c r="C108" s="124"/>
      <c r="D108" s="128" t="s">
        <v>900</v>
      </c>
      <c r="E108" s="124" t="s">
        <v>662</v>
      </c>
      <c r="F108" s="124">
        <v>0.25</v>
      </c>
      <c r="G108" s="125">
        <v>24870.29704545455</v>
      </c>
      <c r="H108" s="125">
        <v>99481.188181818201</v>
      </c>
      <c r="I108" s="126"/>
    </row>
    <row r="109" spans="1:9" x14ac:dyDescent="0.2">
      <c r="A109" s="40"/>
      <c r="B109" s="41"/>
      <c r="C109" s="43"/>
      <c r="D109" s="44"/>
      <c r="E109" s="43"/>
      <c r="F109" s="43"/>
      <c r="G109" s="48">
        <v>0</v>
      </c>
      <c r="H109" s="48">
        <v>99481.188181818201</v>
      </c>
      <c r="I109" s="50"/>
    </row>
    <row r="110" spans="1:9" x14ac:dyDescent="0.2">
      <c r="A110" s="40"/>
      <c r="B110" s="41"/>
      <c r="C110" s="43"/>
      <c r="D110" s="43"/>
      <c r="E110" s="43"/>
      <c r="F110" s="43"/>
      <c r="G110" s="48">
        <v>0</v>
      </c>
      <c r="H110" s="48">
        <v>99481.188181818201</v>
      </c>
      <c r="I110" s="50"/>
    </row>
    <row r="111" spans="1:9" x14ac:dyDescent="0.2">
      <c r="A111" s="40"/>
      <c r="B111" s="41"/>
      <c r="C111" s="43"/>
      <c r="D111" s="44"/>
      <c r="E111" s="43"/>
      <c r="F111" s="43"/>
      <c r="G111" s="48">
        <v>0</v>
      </c>
      <c r="H111" s="48">
        <v>99481.188181818201</v>
      </c>
      <c r="I111" s="50"/>
    </row>
    <row r="112" spans="1:9" x14ac:dyDescent="0.2">
      <c r="A112" s="40"/>
      <c r="B112" s="41"/>
      <c r="C112" s="43"/>
      <c r="D112" s="44"/>
      <c r="E112" s="43"/>
      <c r="F112" s="43"/>
      <c r="G112" s="48">
        <v>0</v>
      </c>
      <c r="H112" s="48">
        <v>99481.188181818201</v>
      </c>
      <c r="I112" s="50"/>
    </row>
    <row r="113" spans="1:9" x14ac:dyDescent="0.2">
      <c r="A113" s="40">
        <v>21</v>
      </c>
      <c r="B113" s="129" t="s">
        <v>120</v>
      </c>
      <c r="C113" s="124">
        <v>35150</v>
      </c>
      <c r="D113" s="124"/>
      <c r="E113" s="124" t="s">
        <v>660</v>
      </c>
      <c r="F113" s="124"/>
      <c r="G113" s="125">
        <v>397894</v>
      </c>
      <c r="H113" s="125"/>
      <c r="I113" s="126">
        <v>397894</v>
      </c>
    </row>
    <row r="114" spans="1:9" x14ac:dyDescent="0.2">
      <c r="A114" s="40"/>
      <c r="B114" s="41"/>
      <c r="C114" s="43"/>
      <c r="D114" s="43"/>
      <c r="E114" s="43"/>
      <c r="F114" s="43"/>
      <c r="G114" s="48">
        <v>0</v>
      </c>
      <c r="H114" s="48">
        <v>76073.849545454548</v>
      </c>
      <c r="I114" s="50"/>
    </row>
    <row r="115" spans="1:9" x14ac:dyDescent="0.2">
      <c r="A115" s="40"/>
      <c r="B115" s="41"/>
      <c r="C115" s="43"/>
      <c r="D115" s="44"/>
      <c r="E115" s="43"/>
      <c r="F115" s="43"/>
      <c r="G115" s="48"/>
      <c r="H115" s="48"/>
      <c r="I115" s="50"/>
    </row>
    <row r="116" spans="1:9" x14ac:dyDescent="0.2">
      <c r="A116" s="40"/>
      <c r="B116" s="41"/>
      <c r="C116" s="43"/>
      <c r="D116" s="44"/>
      <c r="E116" s="43"/>
      <c r="F116" s="43"/>
      <c r="G116" s="48">
        <v>0</v>
      </c>
      <c r="H116" s="48">
        <v>76073.849545454548</v>
      </c>
      <c r="I116" s="50"/>
    </row>
    <row r="117" spans="1:9" x14ac:dyDescent="0.2">
      <c r="A117" s="40">
        <v>22</v>
      </c>
      <c r="B117" s="129" t="s">
        <v>122</v>
      </c>
      <c r="C117" s="124">
        <v>35158</v>
      </c>
      <c r="D117" s="128" t="s">
        <v>949</v>
      </c>
      <c r="E117" s="124" t="s">
        <v>657</v>
      </c>
      <c r="F117" s="124">
        <v>1</v>
      </c>
      <c r="G117" s="125">
        <v>76073.849545454548</v>
      </c>
      <c r="H117" s="125">
        <v>76073.849545454548</v>
      </c>
      <c r="I117" s="126">
        <v>200644.77817613634</v>
      </c>
    </row>
    <row r="118" spans="1:9" x14ac:dyDescent="0.2">
      <c r="A118" s="40"/>
      <c r="B118" s="129"/>
      <c r="C118" s="124"/>
      <c r="D118" s="128" t="s">
        <v>939</v>
      </c>
      <c r="E118" s="124" t="s">
        <v>657</v>
      </c>
      <c r="F118" s="124">
        <v>1</v>
      </c>
      <c r="G118" s="125">
        <v>76073.849545454548</v>
      </c>
      <c r="H118" s="125">
        <v>76073.849545454548</v>
      </c>
      <c r="I118" s="126"/>
    </row>
    <row r="119" spans="1:9" x14ac:dyDescent="0.2">
      <c r="A119" s="40"/>
      <c r="B119" s="129"/>
      <c r="C119" s="124"/>
      <c r="D119" s="128" t="s">
        <v>939</v>
      </c>
      <c r="E119" s="124" t="s">
        <v>662</v>
      </c>
      <c r="F119" s="124">
        <v>0.16374999999999984</v>
      </c>
      <c r="G119" s="125">
        <v>12457.09286306817</v>
      </c>
      <c r="H119" s="125">
        <v>76073.849545454548</v>
      </c>
      <c r="I119" s="126"/>
    </row>
    <row r="120" spans="1:9" x14ac:dyDescent="0.2">
      <c r="A120" s="40"/>
      <c r="B120" s="129"/>
      <c r="C120" s="124"/>
      <c r="D120" s="124" t="s">
        <v>952</v>
      </c>
      <c r="E120" s="124" t="s">
        <v>662</v>
      </c>
      <c r="F120" s="124">
        <v>0.32374999999999998</v>
      </c>
      <c r="G120" s="125">
        <v>24628.908790340909</v>
      </c>
      <c r="H120" s="125">
        <v>76073.849545454548</v>
      </c>
      <c r="I120" s="126"/>
    </row>
    <row r="121" spans="1:9" x14ac:dyDescent="0.2">
      <c r="A121" s="40"/>
      <c r="B121" s="129"/>
      <c r="C121" s="124"/>
      <c r="D121" s="128" t="s">
        <v>953</v>
      </c>
      <c r="E121" s="124" t="s">
        <v>662</v>
      </c>
      <c r="F121" s="124">
        <v>0.14999999999999991</v>
      </c>
      <c r="G121" s="125">
        <v>11411.077431818176</v>
      </c>
      <c r="H121" s="125">
        <v>76073.849545454548</v>
      </c>
      <c r="I121" s="126"/>
    </row>
    <row r="122" spans="1:9" x14ac:dyDescent="0.2">
      <c r="A122" s="40"/>
      <c r="B122" s="41"/>
      <c r="C122" s="43"/>
      <c r="D122" s="44"/>
      <c r="E122" s="43"/>
      <c r="F122" s="43"/>
      <c r="G122" s="48">
        <v>0</v>
      </c>
      <c r="H122" s="48">
        <v>76073.849545454548</v>
      </c>
      <c r="I122" s="50"/>
    </row>
    <row r="123" spans="1:9" x14ac:dyDescent="0.2">
      <c r="A123" s="40"/>
      <c r="B123" s="41"/>
      <c r="C123" s="43"/>
      <c r="D123" s="44"/>
      <c r="E123" s="43"/>
      <c r="F123" s="43"/>
      <c r="G123" s="48">
        <v>0</v>
      </c>
      <c r="H123" s="48">
        <v>76073.849545454548</v>
      </c>
      <c r="I123" s="50"/>
    </row>
    <row r="124" spans="1:9" x14ac:dyDescent="0.2">
      <c r="A124" s="40"/>
      <c r="B124" s="41"/>
      <c r="C124" s="43"/>
      <c r="D124" s="44"/>
      <c r="E124" s="43"/>
      <c r="F124" s="43"/>
      <c r="G124" s="48">
        <v>0</v>
      </c>
      <c r="H124" s="48">
        <v>76073.849545454548</v>
      </c>
      <c r="I124" s="50"/>
    </row>
    <row r="125" spans="1:9" x14ac:dyDescent="0.2">
      <c r="A125" s="40"/>
      <c r="B125" s="41"/>
      <c r="C125" s="43"/>
      <c r="D125" s="44"/>
      <c r="E125" s="43"/>
      <c r="F125" s="43"/>
      <c r="G125" s="48">
        <v>0</v>
      </c>
      <c r="H125" s="48">
        <v>76073.849545454548</v>
      </c>
      <c r="I125" s="50"/>
    </row>
    <row r="126" spans="1:9" x14ac:dyDescent="0.2">
      <c r="A126" s="40"/>
      <c r="B126" s="41"/>
      <c r="C126" s="43"/>
      <c r="D126" s="44"/>
      <c r="E126" s="43"/>
      <c r="F126" s="43"/>
      <c r="G126" s="48">
        <v>0</v>
      </c>
      <c r="H126" s="48">
        <v>76073.849545454548</v>
      </c>
      <c r="I126" s="50"/>
    </row>
    <row r="127" spans="1:9" x14ac:dyDescent="0.2">
      <c r="A127" s="40"/>
      <c r="B127" s="41"/>
      <c r="C127" s="43"/>
      <c r="D127" s="42"/>
      <c r="E127" s="43"/>
      <c r="F127" s="43"/>
      <c r="G127" s="48">
        <v>0</v>
      </c>
      <c r="H127" s="48">
        <v>76073.849545454548</v>
      </c>
      <c r="I127" s="50"/>
    </row>
    <row r="128" spans="1:9" x14ac:dyDescent="0.2">
      <c r="A128" s="40">
        <v>23</v>
      </c>
      <c r="B128" s="129" t="s">
        <v>124</v>
      </c>
      <c r="C128" s="124">
        <v>35164</v>
      </c>
      <c r="D128" s="124"/>
      <c r="E128" s="124" t="s">
        <v>660</v>
      </c>
      <c r="F128" s="124"/>
      <c r="G128" s="125">
        <v>568420</v>
      </c>
      <c r="H128" s="125"/>
      <c r="I128" s="126">
        <v>568420</v>
      </c>
    </row>
    <row r="129" spans="1:9" x14ac:dyDescent="0.2">
      <c r="A129" s="40"/>
      <c r="B129" s="41"/>
      <c r="C129" s="43"/>
      <c r="D129" s="43"/>
      <c r="E129" s="43"/>
      <c r="F129" s="43"/>
      <c r="G129" s="48"/>
      <c r="H129" s="48">
        <v>67881.281363636357</v>
      </c>
      <c r="I129" s="50"/>
    </row>
    <row r="130" spans="1:9" x14ac:dyDescent="0.2">
      <c r="A130" s="40"/>
      <c r="B130" s="41"/>
      <c r="C130" s="43"/>
      <c r="D130" s="43"/>
      <c r="E130" s="43"/>
      <c r="F130" s="43"/>
      <c r="G130" s="48"/>
      <c r="H130" s="48">
        <v>67881.281363636357</v>
      </c>
      <c r="I130" s="50"/>
    </row>
    <row r="131" spans="1:9" x14ac:dyDescent="0.2">
      <c r="A131" s="40">
        <v>24</v>
      </c>
      <c r="B131" s="129" t="s">
        <v>125</v>
      </c>
      <c r="C131" s="124">
        <v>35176</v>
      </c>
      <c r="D131" s="124" t="s">
        <v>944</v>
      </c>
      <c r="E131" s="135" t="s">
        <v>658</v>
      </c>
      <c r="F131" s="124">
        <v>1</v>
      </c>
      <c r="G131" s="125">
        <v>76073.849545454548</v>
      </c>
      <c r="H131" s="125">
        <v>76073.849545454548</v>
      </c>
      <c r="I131" s="126">
        <v>76073.849545454548</v>
      </c>
    </row>
    <row r="132" spans="1:9" x14ac:dyDescent="0.2">
      <c r="A132" s="40"/>
      <c r="B132" s="41"/>
      <c r="C132" s="43"/>
      <c r="D132" s="44"/>
      <c r="E132" s="118"/>
      <c r="F132" s="43"/>
      <c r="G132" s="48">
        <v>0</v>
      </c>
      <c r="H132" s="48">
        <v>76073.849545454505</v>
      </c>
      <c r="I132" s="50"/>
    </row>
    <row r="133" spans="1:9" x14ac:dyDescent="0.2">
      <c r="A133" s="40"/>
      <c r="B133" s="41"/>
      <c r="C133" s="43"/>
      <c r="D133" s="44"/>
      <c r="E133" s="118"/>
      <c r="F133" s="43"/>
      <c r="G133" s="48">
        <v>0</v>
      </c>
      <c r="H133" s="48">
        <v>76073.849545454548</v>
      </c>
      <c r="I133" s="50"/>
    </row>
    <row r="134" spans="1:9" x14ac:dyDescent="0.2">
      <c r="A134" s="40"/>
      <c r="B134" s="41"/>
      <c r="C134" s="43"/>
      <c r="D134" s="43"/>
      <c r="E134" s="118"/>
      <c r="F134" s="43"/>
      <c r="G134" s="48">
        <v>0</v>
      </c>
      <c r="H134" s="48">
        <v>76073.849545454548</v>
      </c>
      <c r="I134" s="50"/>
    </row>
    <row r="135" spans="1:9" x14ac:dyDescent="0.2">
      <c r="A135" s="40"/>
      <c r="B135" s="41"/>
      <c r="C135" s="43"/>
      <c r="D135" s="44"/>
      <c r="E135" s="43"/>
      <c r="F135" s="43"/>
      <c r="G135" s="48">
        <v>0</v>
      </c>
      <c r="H135" s="48">
        <v>76073.849545454548</v>
      </c>
      <c r="I135" s="50"/>
    </row>
    <row r="136" spans="1:9" x14ac:dyDescent="0.2">
      <c r="A136" s="40"/>
      <c r="B136" s="41"/>
      <c r="C136" s="43"/>
      <c r="D136" s="44"/>
      <c r="E136" s="43"/>
      <c r="F136" s="43"/>
      <c r="G136" s="48">
        <v>0</v>
      </c>
      <c r="H136" s="48">
        <v>76073.849545454548</v>
      </c>
      <c r="I136" s="50"/>
    </row>
    <row r="137" spans="1:9" x14ac:dyDescent="0.2">
      <c r="A137" s="40"/>
      <c r="B137" s="41"/>
      <c r="C137" s="43"/>
      <c r="D137" s="44"/>
      <c r="E137" s="43"/>
      <c r="F137" s="43"/>
      <c r="G137" s="48">
        <v>0</v>
      </c>
      <c r="H137" s="48">
        <v>76073.849545454548</v>
      </c>
      <c r="I137" s="50"/>
    </row>
    <row r="138" spans="1:9" x14ac:dyDescent="0.2">
      <c r="A138" s="40"/>
      <c r="B138" s="41"/>
      <c r="C138" s="43"/>
      <c r="D138" s="44"/>
      <c r="E138" s="43"/>
      <c r="F138" s="43"/>
      <c r="G138" s="48">
        <v>0</v>
      </c>
      <c r="H138" s="48">
        <v>76073.849545454505</v>
      </c>
      <c r="I138" s="50"/>
    </row>
    <row r="139" spans="1:9" x14ac:dyDescent="0.2">
      <c r="A139" s="40">
        <v>25</v>
      </c>
      <c r="B139" s="41" t="s">
        <v>127</v>
      </c>
      <c r="C139" s="43">
        <v>36178</v>
      </c>
      <c r="D139" s="44"/>
      <c r="E139" s="43"/>
      <c r="F139" s="43"/>
      <c r="G139" s="48">
        <v>0</v>
      </c>
      <c r="H139" s="48">
        <v>67881.281363636357</v>
      </c>
      <c r="I139" s="50">
        <v>186673.52374999999</v>
      </c>
    </row>
    <row r="140" spans="1:9" x14ac:dyDescent="0.2">
      <c r="A140" s="40"/>
      <c r="B140" s="41"/>
      <c r="C140" s="43"/>
      <c r="D140" s="44"/>
      <c r="E140" s="43"/>
      <c r="F140" s="43"/>
      <c r="G140" s="48">
        <v>0</v>
      </c>
      <c r="H140" s="48">
        <v>67881.281363636357</v>
      </c>
      <c r="I140" s="50"/>
    </row>
    <row r="141" spans="1:9" x14ac:dyDescent="0.2">
      <c r="A141" s="40"/>
      <c r="B141" s="41"/>
      <c r="C141" s="43"/>
      <c r="D141" s="43"/>
      <c r="E141" s="43"/>
      <c r="F141" s="43"/>
      <c r="G141" s="48">
        <v>0</v>
      </c>
      <c r="H141" s="48">
        <v>67881.281363636357</v>
      </c>
      <c r="I141" s="50"/>
    </row>
    <row r="142" spans="1:9" x14ac:dyDescent="0.2">
      <c r="A142" s="40"/>
      <c r="B142" s="41"/>
      <c r="C142" s="47"/>
      <c r="D142" s="43"/>
      <c r="E142" s="43"/>
      <c r="F142" s="43"/>
      <c r="G142" s="48">
        <v>0</v>
      </c>
      <c r="H142" s="48">
        <v>67881.281363636357</v>
      </c>
      <c r="I142" s="50"/>
    </row>
    <row r="143" spans="1:9" x14ac:dyDescent="0.2">
      <c r="A143" s="40"/>
      <c r="B143" s="41"/>
      <c r="C143" s="47"/>
      <c r="D143" s="44"/>
      <c r="E143" s="43"/>
      <c r="F143" s="43"/>
      <c r="G143" s="48">
        <v>0</v>
      </c>
      <c r="H143" s="48">
        <v>67881.281363636357</v>
      </c>
      <c r="I143" s="50"/>
    </row>
    <row r="144" spans="1:9" x14ac:dyDescent="0.2">
      <c r="A144" s="40"/>
      <c r="B144" s="41"/>
      <c r="C144" s="47"/>
      <c r="D144" s="44"/>
      <c r="E144" s="43"/>
      <c r="F144" s="43"/>
      <c r="G144" s="48">
        <v>50910.961022727264</v>
      </c>
      <c r="H144" s="48">
        <v>67881.281363636357</v>
      </c>
      <c r="I144" s="50"/>
    </row>
    <row r="145" spans="1:9" x14ac:dyDescent="0.2">
      <c r="A145" s="40"/>
      <c r="B145" s="41"/>
      <c r="C145" s="47"/>
      <c r="D145" s="44"/>
      <c r="E145" s="43"/>
      <c r="F145" s="43"/>
      <c r="G145" s="48">
        <v>67881.281363636357</v>
      </c>
      <c r="H145" s="48">
        <v>67881.281363636357</v>
      </c>
      <c r="I145" s="50"/>
    </row>
    <row r="146" spans="1:9" x14ac:dyDescent="0.2">
      <c r="A146" s="40"/>
      <c r="B146" s="41"/>
      <c r="C146" s="47"/>
      <c r="D146" s="43"/>
      <c r="E146" s="43"/>
      <c r="F146" s="43"/>
      <c r="G146" s="48">
        <v>67881.281363636357</v>
      </c>
      <c r="H146" s="48">
        <v>67881.281363636357</v>
      </c>
      <c r="I146" s="50"/>
    </row>
    <row r="147" spans="1:9" x14ac:dyDescent="0.2">
      <c r="A147" s="40">
        <v>26</v>
      </c>
      <c r="B147" s="129" t="s">
        <v>129</v>
      </c>
      <c r="C147" s="127">
        <v>36181</v>
      </c>
      <c r="D147" s="134" t="s">
        <v>943</v>
      </c>
      <c r="E147" s="124" t="s">
        <v>658</v>
      </c>
      <c r="F147" s="124">
        <v>1</v>
      </c>
      <c r="G147" s="125">
        <v>93629.353636363638</v>
      </c>
      <c r="H147" s="125">
        <v>93629.353636363638</v>
      </c>
      <c r="I147" s="126">
        <v>93629.353636363638</v>
      </c>
    </row>
    <row r="148" spans="1:9" x14ac:dyDescent="0.2">
      <c r="A148" s="40"/>
      <c r="B148" s="41"/>
      <c r="C148" s="47"/>
      <c r="D148" s="43"/>
      <c r="E148" s="43"/>
      <c r="F148" s="43"/>
      <c r="G148" s="48">
        <v>0</v>
      </c>
      <c r="H148" s="48">
        <v>93629.353636363594</v>
      </c>
      <c r="I148" s="50"/>
    </row>
    <row r="149" spans="1:9" x14ac:dyDescent="0.2">
      <c r="A149" s="40"/>
      <c r="B149" s="41"/>
      <c r="C149" s="47"/>
      <c r="D149" s="43"/>
      <c r="E149" s="43"/>
      <c r="F149" s="43"/>
      <c r="G149" s="48">
        <v>0</v>
      </c>
      <c r="H149" s="48">
        <v>93629.353636363594</v>
      </c>
      <c r="I149" s="50"/>
    </row>
    <row r="150" spans="1:9" x14ac:dyDescent="0.2">
      <c r="A150" s="40"/>
      <c r="B150" s="41"/>
      <c r="C150" s="47"/>
      <c r="D150" s="43"/>
      <c r="E150" s="43"/>
      <c r="F150" s="43"/>
      <c r="G150" s="48">
        <v>0</v>
      </c>
      <c r="H150" s="48">
        <v>93629.353636363638</v>
      </c>
      <c r="I150" s="50"/>
    </row>
    <row r="151" spans="1:9" x14ac:dyDescent="0.2">
      <c r="A151" s="40"/>
      <c r="B151" s="41"/>
      <c r="C151" s="47"/>
      <c r="D151" s="43"/>
      <c r="E151" s="43"/>
      <c r="F151" s="43"/>
      <c r="G151" s="48">
        <v>0</v>
      </c>
      <c r="H151" s="48">
        <v>93629.353636363638</v>
      </c>
      <c r="I151" s="50"/>
    </row>
    <row r="152" spans="1:9" x14ac:dyDescent="0.2">
      <c r="A152" s="40"/>
      <c r="B152" s="41"/>
      <c r="C152" s="47"/>
      <c r="D152" s="43"/>
      <c r="E152" s="43"/>
      <c r="F152" s="43"/>
      <c r="G152" s="48">
        <v>0</v>
      </c>
      <c r="H152" s="48">
        <v>93629.353636363638</v>
      </c>
      <c r="I152" s="50"/>
    </row>
    <row r="153" spans="1:9" x14ac:dyDescent="0.2">
      <c r="A153" s="40"/>
      <c r="B153" s="41"/>
      <c r="C153" s="43"/>
      <c r="D153" s="44"/>
      <c r="E153" s="43"/>
      <c r="F153" s="43"/>
      <c r="G153" s="48">
        <v>0</v>
      </c>
      <c r="H153" s="48">
        <v>93629.353636363594</v>
      </c>
      <c r="I153" s="50"/>
    </row>
    <row r="154" spans="1:9" x14ac:dyDescent="0.2">
      <c r="A154" s="40">
        <v>27</v>
      </c>
      <c r="B154" s="41" t="s">
        <v>131</v>
      </c>
      <c r="C154" s="43">
        <v>36183</v>
      </c>
      <c r="D154" s="44"/>
      <c r="E154" s="43"/>
      <c r="F154" s="43"/>
      <c r="G154" s="48">
        <v>0</v>
      </c>
      <c r="H154" s="48">
        <v>99481.188181818186</v>
      </c>
      <c r="I154" s="50">
        <v>0</v>
      </c>
    </row>
    <row r="155" spans="1:9" x14ac:dyDescent="0.2">
      <c r="A155" s="40"/>
      <c r="B155" s="41"/>
      <c r="C155" s="43"/>
      <c r="D155" s="44"/>
      <c r="E155" s="43"/>
      <c r="F155" s="43"/>
      <c r="G155" s="48">
        <v>0</v>
      </c>
      <c r="H155" s="48">
        <v>99481.188181818201</v>
      </c>
      <c r="I155" s="50"/>
    </row>
    <row r="156" spans="1:9" x14ac:dyDescent="0.2">
      <c r="A156" s="40">
        <v>28</v>
      </c>
      <c r="B156" s="129" t="s">
        <v>133</v>
      </c>
      <c r="C156" s="124">
        <v>36185</v>
      </c>
      <c r="D156" s="128" t="s">
        <v>949</v>
      </c>
      <c r="E156" s="124" t="s">
        <v>657</v>
      </c>
      <c r="F156" s="124">
        <v>1</v>
      </c>
      <c r="G156" s="125">
        <v>67881.281363636357</v>
      </c>
      <c r="H156" s="125">
        <v>67881.281363636357</v>
      </c>
      <c r="I156" s="126">
        <v>271525.12545454549</v>
      </c>
    </row>
    <row r="157" spans="1:9" x14ac:dyDescent="0.2">
      <c r="A157" s="40"/>
      <c r="B157" s="129"/>
      <c r="C157" s="124"/>
      <c r="D157" s="124" t="s">
        <v>954</v>
      </c>
      <c r="E157" s="124" t="s">
        <v>657</v>
      </c>
      <c r="F157" s="124">
        <v>1</v>
      </c>
      <c r="G157" s="125">
        <v>67881.281363636401</v>
      </c>
      <c r="H157" s="125">
        <v>67881.281363636401</v>
      </c>
      <c r="I157" s="126"/>
    </row>
    <row r="158" spans="1:9" x14ac:dyDescent="0.2">
      <c r="A158" s="40"/>
      <c r="B158" s="129"/>
      <c r="C158" s="124"/>
      <c r="D158" s="124" t="s">
        <v>951</v>
      </c>
      <c r="E158" s="124" t="s">
        <v>657</v>
      </c>
      <c r="F158" s="124">
        <v>1</v>
      </c>
      <c r="G158" s="125">
        <v>67881.281363636401</v>
      </c>
      <c r="H158" s="125">
        <v>67881.281363636401</v>
      </c>
      <c r="I158" s="126"/>
    </row>
    <row r="159" spans="1:9" x14ac:dyDescent="0.2">
      <c r="A159" s="40"/>
      <c r="B159" s="129"/>
      <c r="C159" s="124"/>
      <c r="D159" s="128" t="s">
        <v>941</v>
      </c>
      <c r="E159" s="124" t="s">
        <v>657</v>
      </c>
      <c r="F159" s="124">
        <v>1</v>
      </c>
      <c r="G159" s="125">
        <v>67881.281363636357</v>
      </c>
      <c r="H159" s="125">
        <v>67881.281363636357</v>
      </c>
      <c r="I159" s="126"/>
    </row>
    <row r="160" spans="1:9" x14ac:dyDescent="0.2">
      <c r="A160" s="40"/>
      <c r="B160" s="41"/>
      <c r="C160" s="43"/>
      <c r="D160" s="44"/>
      <c r="E160" s="43"/>
      <c r="F160" s="43"/>
      <c r="G160" s="48">
        <v>0</v>
      </c>
      <c r="H160" s="48">
        <v>67881.281363636357</v>
      </c>
      <c r="I160" s="50"/>
    </row>
    <row r="161" spans="1:9" x14ac:dyDescent="0.2">
      <c r="A161" s="40"/>
      <c r="B161" s="41"/>
      <c r="C161" s="43"/>
      <c r="D161" s="44"/>
      <c r="E161" s="43"/>
      <c r="F161" s="43"/>
      <c r="G161" s="48">
        <v>0</v>
      </c>
      <c r="H161" s="48">
        <v>67881.281363636401</v>
      </c>
      <c r="I161" s="50"/>
    </row>
    <row r="162" spans="1:9" x14ac:dyDescent="0.2">
      <c r="A162" s="40"/>
      <c r="B162" s="41"/>
      <c r="C162" s="43"/>
      <c r="D162" s="44"/>
      <c r="E162" s="43"/>
      <c r="F162" s="43"/>
      <c r="G162" s="48">
        <v>0</v>
      </c>
      <c r="H162" s="48">
        <v>67881.281363636401</v>
      </c>
      <c r="I162" s="50"/>
    </row>
    <row r="163" spans="1:9" x14ac:dyDescent="0.2">
      <c r="A163" s="40">
        <v>29</v>
      </c>
      <c r="B163" s="129" t="s">
        <v>135</v>
      </c>
      <c r="C163" s="124">
        <v>36186</v>
      </c>
      <c r="D163" s="128" t="s">
        <v>944</v>
      </c>
      <c r="E163" s="124" t="s">
        <v>658</v>
      </c>
      <c r="F163" s="124">
        <v>0.875</v>
      </c>
      <c r="G163" s="125">
        <v>66564.618352272722</v>
      </c>
      <c r="H163" s="125">
        <v>76073.849545454548</v>
      </c>
      <c r="I163" s="126">
        <v>133129.23670454542</v>
      </c>
    </row>
    <row r="164" spans="1:9" x14ac:dyDescent="0.2">
      <c r="A164" s="40"/>
      <c r="B164" s="129"/>
      <c r="C164" s="124"/>
      <c r="D164" s="128" t="s">
        <v>945</v>
      </c>
      <c r="E164" s="124" t="s">
        <v>658</v>
      </c>
      <c r="F164" s="124">
        <v>0.875</v>
      </c>
      <c r="G164" s="125">
        <v>66564.618352272693</v>
      </c>
      <c r="H164" s="125">
        <v>76073.849545454505</v>
      </c>
      <c r="I164" s="126"/>
    </row>
    <row r="165" spans="1:9" x14ac:dyDescent="0.2">
      <c r="A165" s="40"/>
      <c r="B165" s="41"/>
      <c r="C165" s="43"/>
      <c r="D165" s="44"/>
      <c r="E165" s="43"/>
      <c r="F165" s="43"/>
      <c r="G165" s="48">
        <v>0</v>
      </c>
      <c r="H165" s="48">
        <v>76073.849545454505</v>
      </c>
      <c r="I165" s="50"/>
    </row>
    <row r="166" spans="1:9" x14ac:dyDescent="0.2">
      <c r="A166" s="40"/>
      <c r="B166" s="41"/>
      <c r="C166" s="43"/>
      <c r="D166" s="43"/>
      <c r="E166" s="43"/>
      <c r="F166" s="43"/>
      <c r="G166" s="48">
        <v>0</v>
      </c>
      <c r="H166" s="48">
        <v>76073.849545454505</v>
      </c>
      <c r="I166" s="50"/>
    </row>
    <row r="167" spans="1:9" x14ac:dyDescent="0.2">
      <c r="A167" s="40"/>
      <c r="B167" s="41"/>
      <c r="C167" s="43"/>
      <c r="D167" s="44"/>
      <c r="E167" s="43"/>
      <c r="F167" s="43"/>
      <c r="G167" s="48">
        <v>0</v>
      </c>
      <c r="H167" s="48">
        <v>76073.849545454505</v>
      </c>
      <c r="I167" s="50"/>
    </row>
    <row r="168" spans="1:9" x14ac:dyDescent="0.2">
      <c r="A168" s="40"/>
      <c r="B168" s="41"/>
      <c r="C168" s="43"/>
      <c r="D168" s="44"/>
      <c r="E168" s="43"/>
      <c r="F168" s="43"/>
      <c r="G168" s="48">
        <v>0</v>
      </c>
      <c r="H168" s="48">
        <v>76073.849545454505</v>
      </c>
      <c r="I168" s="50"/>
    </row>
    <row r="169" spans="1:9" x14ac:dyDescent="0.2">
      <c r="A169" s="40">
        <v>30</v>
      </c>
      <c r="B169" s="41" t="s">
        <v>139</v>
      </c>
      <c r="C169" s="43">
        <v>36188</v>
      </c>
      <c r="D169" s="44"/>
      <c r="E169" s="43"/>
      <c r="F169" s="43"/>
      <c r="G169" s="48">
        <v>0</v>
      </c>
      <c r="H169" s="48">
        <v>76073.849545454548</v>
      </c>
      <c r="I169" s="50">
        <v>0</v>
      </c>
    </row>
    <row r="170" spans="1:9" x14ac:dyDescent="0.2">
      <c r="A170" s="40"/>
      <c r="B170" s="41"/>
      <c r="C170" s="43"/>
      <c r="D170" s="44"/>
      <c r="E170" s="43"/>
      <c r="F170" s="43"/>
      <c r="G170" s="48">
        <v>0</v>
      </c>
      <c r="H170" s="48">
        <v>76073.849545454548</v>
      </c>
      <c r="I170" s="50"/>
    </row>
    <row r="171" spans="1:9" x14ac:dyDescent="0.2">
      <c r="A171" s="40"/>
      <c r="B171" s="41"/>
      <c r="C171" s="43"/>
      <c r="D171" s="44"/>
      <c r="E171" s="43"/>
      <c r="F171" s="43"/>
      <c r="G171" s="48">
        <v>0</v>
      </c>
      <c r="H171" s="48">
        <v>76073.849545454548</v>
      </c>
      <c r="I171" s="50"/>
    </row>
    <row r="172" spans="1:9" x14ac:dyDescent="0.2">
      <c r="A172" s="40"/>
      <c r="B172" s="41"/>
      <c r="C172" s="43"/>
      <c r="D172" s="44"/>
      <c r="E172" s="43"/>
      <c r="F172" s="43"/>
      <c r="G172" s="48">
        <v>0</v>
      </c>
      <c r="H172" s="48">
        <v>76073.849545454548</v>
      </c>
      <c r="I172" s="50"/>
    </row>
    <row r="173" spans="1:9" x14ac:dyDescent="0.2">
      <c r="A173" s="40"/>
      <c r="B173" s="41"/>
      <c r="C173" s="43"/>
      <c r="D173" s="44"/>
      <c r="E173" s="43"/>
      <c r="F173" s="43"/>
      <c r="G173" s="48">
        <v>0</v>
      </c>
      <c r="H173" s="48">
        <v>76073.849545454548</v>
      </c>
      <c r="I173" s="50"/>
    </row>
    <row r="174" spans="1:9" x14ac:dyDescent="0.2">
      <c r="A174" s="40"/>
      <c r="B174" s="41"/>
      <c r="C174" s="43"/>
      <c r="D174" s="44"/>
      <c r="E174" s="43"/>
      <c r="F174" s="43"/>
      <c r="G174" s="48">
        <v>0</v>
      </c>
      <c r="H174" s="48">
        <v>76073.849545454548</v>
      </c>
      <c r="I174" s="50"/>
    </row>
    <row r="175" spans="1:9" x14ac:dyDescent="0.2">
      <c r="A175" s="40"/>
      <c r="B175" s="41"/>
      <c r="C175" s="43"/>
      <c r="D175" s="43"/>
      <c r="E175" s="43"/>
      <c r="F175" s="43"/>
      <c r="G175" s="48">
        <v>0</v>
      </c>
      <c r="H175" s="48">
        <v>76073.849545454548</v>
      </c>
      <c r="I175" s="50"/>
    </row>
    <row r="176" spans="1:9" x14ac:dyDescent="0.2">
      <c r="A176" s="40"/>
      <c r="B176" s="41"/>
      <c r="C176" s="43"/>
      <c r="D176" s="44"/>
      <c r="E176" s="43"/>
      <c r="F176" s="43"/>
      <c r="G176" s="48">
        <v>0</v>
      </c>
      <c r="H176" s="48">
        <v>76073.849545454548</v>
      </c>
      <c r="I176" s="50"/>
    </row>
    <row r="177" spans="1:9" x14ac:dyDescent="0.2">
      <c r="A177" s="40">
        <v>31</v>
      </c>
      <c r="B177" s="129" t="s">
        <v>309</v>
      </c>
      <c r="C177" s="124">
        <v>36189</v>
      </c>
      <c r="D177" s="128" t="s">
        <v>950</v>
      </c>
      <c r="E177" s="124" t="s">
        <v>657</v>
      </c>
      <c r="F177" s="124">
        <v>1</v>
      </c>
      <c r="G177" s="125">
        <v>76073.849545454548</v>
      </c>
      <c r="H177" s="125">
        <v>76073.849545454548</v>
      </c>
      <c r="I177" s="126">
        <v>228221.54863636364</v>
      </c>
    </row>
    <row r="178" spans="1:9" x14ac:dyDescent="0.2">
      <c r="A178" s="40"/>
      <c r="B178" s="129"/>
      <c r="C178" s="124"/>
      <c r="D178" s="128" t="s">
        <v>955</v>
      </c>
      <c r="E178" s="124" t="s">
        <v>657</v>
      </c>
      <c r="F178" s="124">
        <v>1</v>
      </c>
      <c r="G178" s="125">
        <v>76073.849545454548</v>
      </c>
      <c r="H178" s="125">
        <v>76073.849545454548</v>
      </c>
      <c r="I178" s="126"/>
    </row>
    <row r="179" spans="1:9" x14ac:dyDescent="0.2">
      <c r="A179" s="40"/>
      <c r="B179" s="129"/>
      <c r="C179" s="124"/>
      <c r="D179" s="128" t="s">
        <v>905</v>
      </c>
      <c r="E179" s="124" t="s">
        <v>657</v>
      </c>
      <c r="F179" s="124">
        <v>1</v>
      </c>
      <c r="G179" s="125">
        <v>76073.849545454548</v>
      </c>
      <c r="H179" s="125">
        <v>76073.849545454548</v>
      </c>
      <c r="I179" s="126"/>
    </row>
    <row r="180" spans="1:9" x14ac:dyDescent="0.2">
      <c r="A180" s="40">
        <v>32</v>
      </c>
      <c r="B180" s="41" t="s">
        <v>141</v>
      </c>
      <c r="C180" s="43">
        <v>36190</v>
      </c>
      <c r="D180" s="44"/>
      <c r="E180" s="43"/>
      <c r="F180" s="43"/>
      <c r="G180" s="48">
        <v>0</v>
      </c>
      <c r="H180" s="48">
        <v>0</v>
      </c>
      <c r="I180" s="50">
        <v>0</v>
      </c>
    </row>
    <row r="181" spans="1:9" x14ac:dyDescent="0.2">
      <c r="A181" s="40"/>
      <c r="B181" s="41"/>
      <c r="C181" s="43"/>
      <c r="D181" s="43"/>
      <c r="E181" s="43"/>
      <c r="F181" s="43"/>
      <c r="G181" s="48">
        <v>0</v>
      </c>
      <c r="H181" s="48">
        <v>99481.188181818186</v>
      </c>
      <c r="I181" s="50"/>
    </row>
    <row r="182" spans="1:9" x14ac:dyDescent="0.2">
      <c r="A182" s="40"/>
      <c r="B182" s="41"/>
      <c r="C182" s="43"/>
      <c r="D182" s="43"/>
      <c r="E182" s="43"/>
      <c r="F182" s="43"/>
      <c r="G182" s="48">
        <v>0</v>
      </c>
      <c r="H182" s="48">
        <v>99481.188181818186</v>
      </c>
      <c r="I182" s="50"/>
    </row>
    <row r="183" spans="1:9" x14ac:dyDescent="0.2">
      <c r="A183" s="40"/>
      <c r="B183" s="41"/>
      <c r="C183" s="43"/>
      <c r="D183" s="44"/>
      <c r="E183" s="43"/>
      <c r="F183" s="43"/>
      <c r="G183" s="48">
        <v>0</v>
      </c>
      <c r="H183" s="48">
        <v>99481.188181818186</v>
      </c>
      <c r="I183" s="50"/>
    </row>
    <row r="184" spans="1:9" x14ac:dyDescent="0.2">
      <c r="A184" s="40"/>
      <c r="B184" s="41"/>
      <c r="C184" s="43"/>
      <c r="D184" s="44"/>
      <c r="E184" s="43"/>
      <c r="F184" s="43"/>
      <c r="G184" s="48">
        <v>0</v>
      </c>
      <c r="H184" s="48">
        <v>99481.188181818186</v>
      </c>
      <c r="I184" s="50"/>
    </row>
    <row r="185" spans="1:9" x14ac:dyDescent="0.2">
      <c r="A185" s="40"/>
      <c r="B185" s="41"/>
      <c r="C185" s="43"/>
      <c r="D185" s="44"/>
      <c r="E185" s="43"/>
      <c r="F185" s="43"/>
      <c r="G185" s="48">
        <v>0</v>
      </c>
      <c r="H185" s="48">
        <v>99481.188181818186</v>
      </c>
      <c r="I185" s="50"/>
    </row>
    <row r="186" spans="1:9" x14ac:dyDescent="0.2">
      <c r="A186" s="40">
        <v>33</v>
      </c>
      <c r="B186" s="129" t="s">
        <v>661</v>
      </c>
      <c r="C186" s="124">
        <v>36192</v>
      </c>
      <c r="D186" s="128" t="s">
        <v>939</v>
      </c>
      <c r="E186" s="124" t="s">
        <v>657</v>
      </c>
      <c r="F186" s="124">
        <v>1</v>
      </c>
      <c r="G186" s="125">
        <v>99481.188181818186</v>
      </c>
      <c r="H186" s="125">
        <v>99481.188181818186</v>
      </c>
      <c r="I186" s="126">
        <v>99481.188181818186</v>
      </c>
    </row>
    <row r="187" spans="1:9" x14ac:dyDescent="0.2">
      <c r="A187" s="40"/>
      <c r="B187" s="41"/>
      <c r="C187" s="43"/>
      <c r="D187" s="44"/>
      <c r="E187" s="43"/>
      <c r="F187" s="43"/>
      <c r="G187" s="48">
        <v>0</v>
      </c>
      <c r="H187" s="48">
        <v>99481.188181818186</v>
      </c>
      <c r="I187" s="50"/>
    </row>
    <row r="188" spans="1:9" x14ac:dyDescent="0.2">
      <c r="A188" s="40"/>
      <c r="B188" s="41"/>
      <c r="C188" s="43"/>
      <c r="D188" s="44"/>
      <c r="E188" s="43"/>
      <c r="F188" s="43"/>
      <c r="G188" s="48">
        <v>0</v>
      </c>
      <c r="H188" s="48">
        <v>99481.188181818186</v>
      </c>
      <c r="I188" s="50"/>
    </row>
    <row r="189" spans="1:9" x14ac:dyDescent="0.2">
      <c r="A189" s="40"/>
      <c r="B189" s="41"/>
      <c r="C189" s="43"/>
      <c r="D189" s="43"/>
      <c r="E189" s="43"/>
      <c r="F189" s="43"/>
      <c r="G189" s="48">
        <v>0</v>
      </c>
      <c r="H189" s="48">
        <v>99481.188181818186</v>
      </c>
      <c r="I189" s="50"/>
    </row>
    <row r="190" spans="1:9" x14ac:dyDescent="0.2">
      <c r="A190" s="40"/>
      <c r="B190" s="41"/>
      <c r="C190" s="43"/>
      <c r="D190" s="44"/>
      <c r="E190" s="43"/>
      <c r="F190" s="43"/>
      <c r="G190" s="48">
        <v>0</v>
      </c>
      <c r="H190" s="48">
        <v>99481.188181818186</v>
      </c>
      <c r="I190" s="50"/>
    </row>
    <row r="191" spans="1:9" x14ac:dyDescent="0.2">
      <c r="A191" s="40"/>
      <c r="B191" s="41"/>
      <c r="C191" s="43"/>
      <c r="D191" s="44"/>
      <c r="E191" s="43"/>
      <c r="F191" s="43"/>
      <c r="G191" s="48">
        <v>0</v>
      </c>
      <c r="H191" s="48">
        <v>99481.188181818186</v>
      </c>
      <c r="I191" s="50"/>
    </row>
    <row r="192" spans="1:9" x14ac:dyDescent="0.2">
      <c r="A192" s="40"/>
      <c r="B192" s="41"/>
      <c r="C192" s="43"/>
      <c r="D192" s="44"/>
      <c r="E192" s="43"/>
      <c r="F192" s="43"/>
      <c r="G192" s="48">
        <v>0</v>
      </c>
      <c r="H192" s="48">
        <v>99481.188181818186</v>
      </c>
      <c r="I192" s="50"/>
    </row>
    <row r="193" spans="1:9" x14ac:dyDescent="0.2">
      <c r="A193" s="40"/>
      <c r="B193" s="41"/>
      <c r="C193" s="43"/>
      <c r="D193" s="44"/>
      <c r="E193" s="43"/>
      <c r="F193" s="43"/>
      <c r="G193" s="48">
        <v>0</v>
      </c>
      <c r="H193" s="48">
        <v>99481.188181818186</v>
      </c>
      <c r="I193" s="50"/>
    </row>
    <row r="194" spans="1:9" x14ac:dyDescent="0.2">
      <c r="A194" s="40"/>
      <c r="B194" s="41"/>
      <c r="C194" s="43"/>
      <c r="D194" s="44"/>
      <c r="E194" s="43"/>
      <c r="F194" s="43"/>
      <c r="G194" s="48">
        <v>0</v>
      </c>
      <c r="H194" s="48">
        <v>99481.188181818186</v>
      </c>
      <c r="I194" s="50"/>
    </row>
    <row r="195" spans="1:9" x14ac:dyDescent="0.2">
      <c r="A195" s="40">
        <v>34</v>
      </c>
      <c r="B195" s="129" t="s">
        <v>146</v>
      </c>
      <c r="C195" s="124">
        <v>36194</v>
      </c>
      <c r="D195" s="124" t="s">
        <v>951</v>
      </c>
      <c r="E195" s="124" t="s">
        <v>657</v>
      </c>
      <c r="F195" s="124">
        <v>1</v>
      </c>
      <c r="G195" s="125">
        <v>99481.188181818186</v>
      </c>
      <c r="H195" s="125">
        <v>99481.188181818186</v>
      </c>
      <c r="I195" s="126">
        <v>115273.82680568182</v>
      </c>
    </row>
    <row r="196" spans="1:9" x14ac:dyDescent="0.2">
      <c r="A196" s="40"/>
      <c r="B196" s="129"/>
      <c r="C196" s="124"/>
      <c r="D196" s="124" t="s">
        <v>956</v>
      </c>
      <c r="E196" s="124" t="s">
        <v>662</v>
      </c>
      <c r="F196" s="124">
        <v>0.15874999999999995</v>
      </c>
      <c r="G196" s="125">
        <v>15792.638623863631</v>
      </c>
      <c r="H196" s="125">
        <v>99481.188181818186</v>
      </c>
      <c r="I196" s="126"/>
    </row>
    <row r="197" spans="1:9" x14ac:dyDescent="0.2">
      <c r="A197" s="40"/>
      <c r="B197" s="41"/>
      <c r="C197" s="43"/>
      <c r="D197" s="43"/>
      <c r="E197" s="43"/>
      <c r="F197" s="43"/>
      <c r="G197" s="48">
        <v>0</v>
      </c>
      <c r="H197" s="48">
        <v>99481.188181818186</v>
      </c>
      <c r="I197" s="50"/>
    </row>
    <row r="198" spans="1:9" x14ac:dyDescent="0.2">
      <c r="A198" s="40"/>
      <c r="B198" s="41"/>
      <c r="C198" s="43"/>
      <c r="D198" s="44"/>
      <c r="E198" s="43"/>
      <c r="F198" s="43"/>
      <c r="G198" s="48">
        <v>0</v>
      </c>
      <c r="H198" s="48">
        <v>99481.188181818186</v>
      </c>
      <c r="I198" s="50"/>
    </row>
    <row r="199" spans="1:9" x14ac:dyDescent="0.2">
      <c r="A199" s="40"/>
      <c r="B199" s="41"/>
      <c r="C199" s="43"/>
      <c r="D199" s="44"/>
      <c r="E199" s="43"/>
      <c r="F199" s="43"/>
      <c r="G199" s="48">
        <v>0</v>
      </c>
      <c r="H199" s="48">
        <v>99481.188181818186</v>
      </c>
      <c r="I199" s="50"/>
    </row>
    <row r="200" spans="1:9" x14ac:dyDescent="0.2">
      <c r="A200" s="40"/>
      <c r="B200" s="41"/>
      <c r="C200" s="43"/>
      <c r="D200" s="44"/>
      <c r="E200" s="43"/>
      <c r="F200" s="43"/>
      <c r="G200" s="48">
        <v>0</v>
      </c>
      <c r="H200" s="48">
        <v>99481.188181818186</v>
      </c>
      <c r="I200" s="50"/>
    </row>
    <row r="201" spans="1:9" x14ac:dyDescent="0.2">
      <c r="A201" s="40"/>
      <c r="B201" s="41"/>
      <c r="C201" s="43"/>
      <c r="D201" s="44"/>
      <c r="E201" s="43"/>
      <c r="F201" s="43"/>
      <c r="G201" s="48">
        <v>0</v>
      </c>
      <c r="H201" s="48">
        <v>99481.188181818186</v>
      </c>
      <c r="I201" s="50"/>
    </row>
    <row r="202" spans="1:9" x14ac:dyDescent="0.2">
      <c r="A202" s="40"/>
      <c r="B202" s="41"/>
      <c r="C202" s="43"/>
      <c r="D202" s="44"/>
      <c r="E202" s="43"/>
      <c r="F202" s="43"/>
      <c r="G202" s="48">
        <v>0</v>
      </c>
      <c r="H202" s="48">
        <v>99481.188181818186</v>
      </c>
      <c r="I202" s="50"/>
    </row>
    <row r="203" spans="1:9" x14ac:dyDescent="0.2">
      <c r="A203" s="40"/>
      <c r="B203" s="41"/>
      <c r="C203" s="43"/>
      <c r="D203" s="43"/>
      <c r="E203" s="43"/>
      <c r="F203" s="43"/>
      <c r="G203" s="48">
        <v>0</v>
      </c>
      <c r="H203" s="48">
        <v>99481.188181818186</v>
      </c>
      <c r="I203" s="50"/>
    </row>
    <row r="204" spans="1:9" x14ac:dyDescent="0.2">
      <c r="A204" s="40">
        <v>35</v>
      </c>
      <c r="B204" s="41" t="s">
        <v>310</v>
      </c>
      <c r="C204" s="43">
        <v>36195</v>
      </c>
      <c r="D204" s="43"/>
      <c r="E204" s="43"/>
      <c r="F204" s="43"/>
      <c r="G204" s="48">
        <v>0</v>
      </c>
      <c r="H204" s="48">
        <v>99481.188181818186</v>
      </c>
      <c r="I204" s="50">
        <v>0</v>
      </c>
    </row>
    <row r="205" spans="1:9" x14ac:dyDescent="0.2">
      <c r="A205" s="40"/>
      <c r="B205" s="41"/>
      <c r="C205" s="43"/>
      <c r="D205" s="43"/>
      <c r="E205" s="43"/>
      <c r="F205" s="43"/>
      <c r="G205" s="48">
        <v>0</v>
      </c>
      <c r="H205" s="48">
        <v>99481.188181818186</v>
      </c>
      <c r="I205" s="50"/>
    </row>
    <row r="206" spans="1:9" x14ac:dyDescent="0.2">
      <c r="A206" s="40"/>
      <c r="B206" s="41"/>
      <c r="C206" s="43"/>
      <c r="D206" s="43"/>
      <c r="E206" s="43"/>
      <c r="F206" s="43"/>
      <c r="G206" s="48">
        <v>0</v>
      </c>
      <c r="H206" s="48">
        <v>99481.188181818186</v>
      </c>
      <c r="I206" s="50"/>
    </row>
    <row r="207" spans="1:9" x14ac:dyDescent="0.2">
      <c r="A207" s="40"/>
      <c r="B207" s="41"/>
      <c r="C207" s="43"/>
      <c r="D207" s="44"/>
      <c r="E207" s="43"/>
      <c r="F207" s="43"/>
      <c r="G207" s="48">
        <v>0</v>
      </c>
      <c r="H207" s="48">
        <v>99481.188181818186</v>
      </c>
      <c r="I207" s="50"/>
    </row>
    <row r="208" spans="1:9" x14ac:dyDescent="0.2">
      <c r="A208" s="40"/>
      <c r="B208" s="41"/>
      <c r="C208" s="43"/>
      <c r="D208" s="44"/>
      <c r="E208" s="43"/>
      <c r="F208" s="43"/>
      <c r="G208" s="48">
        <v>0</v>
      </c>
      <c r="H208" s="48">
        <v>99481.188181818186</v>
      </c>
      <c r="I208" s="50"/>
    </row>
    <row r="209" spans="1:9" x14ac:dyDescent="0.2">
      <c r="A209" s="40"/>
      <c r="B209" s="41"/>
      <c r="C209" s="43"/>
      <c r="D209" s="45"/>
      <c r="E209" s="43"/>
      <c r="F209" s="43"/>
      <c r="G209" s="48">
        <v>0</v>
      </c>
      <c r="H209" s="48">
        <v>99481.188181818186</v>
      </c>
      <c r="I209" s="50"/>
    </row>
    <row r="210" spans="1:9" x14ac:dyDescent="0.2">
      <c r="A210" s="40"/>
      <c r="B210" s="41"/>
      <c r="C210" s="43"/>
      <c r="D210" s="45"/>
      <c r="E210" s="43"/>
      <c r="F210" s="43"/>
      <c r="G210" s="48">
        <v>0</v>
      </c>
      <c r="H210" s="48">
        <v>99481.188181818186</v>
      </c>
      <c r="I210" s="50"/>
    </row>
    <row r="211" spans="1:9" x14ac:dyDescent="0.2">
      <c r="A211" s="40"/>
      <c r="B211" s="41"/>
      <c r="C211" s="43"/>
      <c r="D211" s="45"/>
      <c r="E211" s="43"/>
      <c r="F211" s="43"/>
      <c r="G211" s="48">
        <v>0</v>
      </c>
      <c r="H211" s="48">
        <v>99481.188181818186</v>
      </c>
      <c r="I211" s="50"/>
    </row>
    <row r="212" spans="1:9" x14ac:dyDescent="0.2">
      <c r="A212" s="40"/>
      <c r="B212" s="41"/>
      <c r="C212" s="43"/>
      <c r="D212" s="45"/>
      <c r="E212" s="43"/>
      <c r="F212" s="43"/>
      <c r="G212" s="48">
        <v>0</v>
      </c>
      <c r="H212" s="48">
        <v>99481.188181818186</v>
      </c>
      <c r="I212" s="50"/>
    </row>
    <row r="213" spans="1:9" x14ac:dyDescent="0.2">
      <c r="A213" s="40"/>
      <c r="B213" s="41"/>
      <c r="C213" s="43"/>
      <c r="D213" s="42"/>
      <c r="E213" s="43"/>
      <c r="F213" s="43"/>
      <c r="G213" s="48">
        <v>0</v>
      </c>
      <c r="H213" s="48">
        <v>99481.188181818186</v>
      </c>
      <c r="I213" s="50"/>
    </row>
    <row r="214" spans="1:9" x14ac:dyDescent="0.2">
      <c r="A214" s="40"/>
      <c r="B214" s="41"/>
      <c r="C214" s="43"/>
      <c r="D214" s="42"/>
      <c r="E214" s="43"/>
      <c r="F214" s="43"/>
      <c r="G214" s="48">
        <v>0</v>
      </c>
      <c r="H214" s="48">
        <v>99481.188181818186</v>
      </c>
      <c r="I214" s="50"/>
    </row>
    <row r="215" spans="1:9" x14ac:dyDescent="0.2">
      <c r="A215" s="40"/>
      <c r="B215" s="41"/>
      <c r="C215" s="43"/>
      <c r="D215" s="44"/>
      <c r="E215" s="43"/>
      <c r="F215" s="43"/>
      <c r="G215" s="48">
        <v>0</v>
      </c>
      <c r="H215" s="48">
        <v>99481.188181818186</v>
      </c>
      <c r="I215" s="50"/>
    </row>
    <row r="216" spans="1:9" x14ac:dyDescent="0.2">
      <c r="A216" s="40"/>
      <c r="B216" s="41"/>
      <c r="C216" s="43"/>
      <c r="D216" s="45"/>
      <c r="E216" s="43"/>
      <c r="F216" s="43"/>
      <c r="G216" s="48">
        <v>0</v>
      </c>
      <c r="H216" s="48">
        <v>99481.188181818186</v>
      </c>
      <c r="I216" s="50"/>
    </row>
    <row r="217" spans="1:9" x14ac:dyDescent="0.2">
      <c r="A217" s="40"/>
      <c r="B217" s="41"/>
      <c r="C217" s="43"/>
      <c r="D217" s="44"/>
      <c r="E217" s="43"/>
      <c r="F217" s="43"/>
      <c r="G217" s="48">
        <v>0</v>
      </c>
      <c r="H217" s="48">
        <v>99481.188181818186</v>
      </c>
      <c r="I217" s="50"/>
    </row>
    <row r="218" spans="1:9" x14ac:dyDescent="0.2">
      <c r="A218" s="40">
        <v>36</v>
      </c>
      <c r="B218" s="129" t="s">
        <v>150</v>
      </c>
      <c r="C218" s="124">
        <v>36198</v>
      </c>
      <c r="D218" s="124" t="s">
        <v>948</v>
      </c>
      <c r="E218" s="124" t="s">
        <v>658</v>
      </c>
      <c r="F218" s="124">
        <v>1</v>
      </c>
      <c r="G218" s="125">
        <v>99481.188181818186</v>
      </c>
      <c r="H218" s="125">
        <v>99481.188181818186</v>
      </c>
      <c r="I218" s="126">
        <v>99481.188181818186</v>
      </c>
    </row>
    <row r="219" spans="1:9" x14ac:dyDescent="0.2">
      <c r="A219" s="40"/>
      <c r="B219" s="41"/>
      <c r="C219" s="43"/>
      <c r="D219" s="43"/>
      <c r="E219" s="43"/>
      <c r="F219" s="43"/>
      <c r="G219" s="48">
        <v>0</v>
      </c>
      <c r="H219" s="48">
        <v>99481.188181818186</v>
      </c>
      <c r="I219" s="50"/>
    </row>
    <row r="220" spans="1:9" x14ac:dyDescent="0.2">
      <c r="A220" s="40"/>
      <c r="B220" s="41"/>
      <c r="C220" s="43"/>
      <c r="D220" s="43"/>
      <c r="E220" s="43"/>
      <c r="F220" s="43"/>
      <c r="G220" s="48">
        <v>0</v>
      </c>
      <c r="H220" s="48">
        <v>99481.188181818186</v>
      </c>
      <c r="I220" s="50"/>
    </row>
    <row r="221" spans="1:9" x14ac:dyDescent="0.2">
      <c r="A221" s="40">
        <v>37</v>
      </c>
      <c r="B221" s="129" t="s">
        <v>151</v>
      </c>
      <c r="C221" s="124">
        <v>36199</v>
      </c>
      <c r="D221" s="124" t="s">
        <v>938</v>
      </c>
      <c r="E221" s="124" t="s">
        <v>657</v>
      </c>
      <c r="F221" s="124">
        <v>1.3025</v>
      </c>
      <c r="G221" s="125">
        <v>99086.189032954542</v>
      </c>
      <c r="H221" s="125">
        <v>76073.849545454548</v>
      </c>
      <c r="I221" s="126">
        <v>307528.53678749991</v>
      </c>
    </row>
    <row r="222" spans="1:9" x14ac:dyDescent="0.2">
      <c r="A222" s="40"/>
      <c r="B222" s="129"/>
      <c r="C222" s="124"/>
      <c r="D222" s="130" t="s">
        <v>951</v>
      </c>
      <c r="E222" s="124" t="s">
        <v>657</v>
      </c>
      <c r="F222" s="124">
        <v>1.4950000000000001</v>
      </c>
      <c r="G222" s="125">
        <v>113730.40507045449</v>
      </c>
      <c r="H222" s="125">
        <v>76073.849545454505</v>
      </c>
      <c r="I222" s="126"/>
    </row>
    <row r="223" spans="1:9" x14ac:dyDescent="0.2">
      <c r="A223" s="40"/>
      <c r="B223" s="129"/>
      <c r="C223" s="124"/>
      <c r="D223" s="128" t="s">
        <v>941</v>
      </c>
      <c r="E223" s="124" t="s">
        <v>657</v>
      </c>
      <c r="F223" s="124">
        <v>1.2450000000000001</v>
      </c>
      <c r="G223" s="125">
        <v>94711.942684090871</v>
      </c>
      <c r="H223" s="125">
        <v>76073.849545454505</v>
      </c>
      <c r="I223" s="126"/>
    </row>
    <row r="224" spans="1:9" x14ac:dyDescent="0.2">
      <c r="A224" s="40"/>
      <c r="B224" s="41"/>
      <c r="C224" s="43"/>
      <c r="D224" s="44"/>
      <c r="E224" s="43"/>
      <c r="F224" s="43"/>
      <c r="G224" s="48">
        <v>0</v>
      </c>
      <c r="H224" s="48">
        <v>76073.849545454505</v>
      </c>
      <c r="I224" s="50"/>
    </row>
    <row r="225" spans="1:9" x14ac:dyDescent="0.2">
      <c r="A225" s="40"/>
      <c r="B225" s="41"/>
      <c r="C225" s="43"/>
      <c r="D225" s="43"/>
      <c r="E225" s="43"/>
      <c r="F225" s="43"/>
      <c r="G225" s="48">
        <v>0</v>
      </c>
      <c r="H225" s="48">
        <v>76073.849545454505</v>
      </c>
      <c r="I225" s="50"/>
    </row>
    <row r="226" spans="1:9" x14ac:dyDescent="0.2">
      <c r="A226" s="40"/>
      <c r="B226" s="41"/>
      <c r="C226" s="43"/>
      <c r="D226" s="43"/>
      <c r="E226" s="43"/>
      <c r="F226" s="43"/>
      <c r="G226" s="48">
        <v>0</v>
      </c>
      <c r="H226" s="48">
        <v>76073.849545454548</v>
      </c>
      <c r="I226" s="50"/>
    </row>
    <row r="227" spans="1:9" x14ac:dyDescent="0.2">
      <c r="A227" s="40">
        <v>38</v>
      </c>
      <c r="B227" s="129" t="s">
        <v>153</v>
      </c>
      <c r="C227" s="124">
        <v>36200</v>
      </c>
      <c r="D227" s="124" t="s">
        <v>957</v>
      </c>
      <c r="E227" s="124" t="s">
        <v>658</v>
      </c>
      <c r="F227" s="124">
        <v>1</v>
      </c>
      <c r="G227" s="125">
        <v>99481.188181818186</v>
      </c>
      <c r="H227" s="125">
        <v>99481.188181818186</v>
      </c>
      <c r="I227" s="126">
        <v>186527.22784090909</v>
      </c>
    </row>
    <row r="228" spans="1:9" x14ac:dyDescent="0.2">
      <c r="A228" s="40"/>
      <c r="B228" s="129"/>
      <c r="C228" s="124"/>
      <c r="D228" s="124" t="s">
        <v>958</v>
      </c>
      <c r="E228" s="124" t="s">
        <v>658</v>
      </c>
      <c r="F228" s="124">
        <v>0.875</v>
      </c>
      <c r="G228" s="125">
        <v>87046.039659090908</v>
      </c>
      <c r="H228" s="125">
        <v>99481.188181818186</v>
      </c>
      <c r="I228" s="126"/>
    </row>
    <row r="229" spans="1:9" x14ac:dyDescent="0.2">
      <c r="A229" s="40"/>
      <c r="B229" s="41"/>
      <c r="C229" s="43"/>
      <c r="D229" s="43"/>
      <c r="E229" s="43"/>
      <c r="F229" s="43"/>
      <c r="G229" s="48">
        <v>0</v>
      </c>
      <c r="H229" s="48">
        <v>99481.188181818186</v>
      </c>
      <c r="I229" s="50"/>
    </row>
    <row r="230" spans="1:9" x14ac:dyDescent="0.2">
      <c r="A230" s="40"/>
      <c r="B230" s="41"/>
      <c r="C230" s="43"/>
      <c r="D230" s="43"/>
      <c r="E230" s="43"/>
      <c r="F230" s="43"/>
      <c r="G230" s="48">
        <v>0</v>
      </c>
      <c r="H230" s="48">
        <v>99481.188181818186</v>
      </c>
      <c r="I230" s="50"/>
    </row>
    <row r="231" spans="1:9" x14ac:dyDescent="0.2">
      <c r="A231" s="40"/>
      <c r="B231" s="41"/>
      <c r="C231" s="43"/>
      <c r="D231" s="44"/>
      <c r="E231" s="43"/>
      <c r="F231" s="43"/>
      <c r="G231" s="48">
        <v>0</v>
      </c>
      <c r="H231" s="48">
        <v>99481.188181818186</v>
      </c>
      <c r="I231" s="50"/>
    </row>
    <row r="232" spans="1:9" x14ac:dyDescent="0.2">
      <c r="A232" s="40"/>
      <c r="B232" s="41"/>
      <c r="C232" s="43"/>
      <c r="D232" s="44"/>
      <c r="E232" s="43"/>
      <c r="F232" s="43"/>
      <c r="G232" s="48">
        <v>0</v>
      </c>
      <c r="H232" s="48">
        <v>99481.188181818201</v>
      </c>
      <c r="I232" s="50"/>
    </row>
    <row r="233" spans="1:9" x14ac:dyDescent="0.2">
      <c r="A233" s="40">
        <v>39</v>
      </c>
      <c r="B233" s="41" t="s">
        <v>155</v>
      </c>
      <c r="C233" s="43">
        <v>36206</v>
      </c>
      <c r="D233" s="44"/>
      <c r="E233" s="43" t="s">
        <v>660</v>
      </c>
      <c r="F233" s="43"/>
      <c r="G233" s="48"/>
      <c r="H233" s="48"/>
      <c r="I233" s="50">
        <v>397894</v>
      </c>
    </row>
    <row r="234" spans="1:9" x14ac:dyDescent="0.2">
      <c r="A234" s="40"/>
      <c r="B234" s="41"/>
      <c r="C234" s="43"/>
      <c r="D234" s="44"/>
      <c r="E234" s="43"/>
      <c r="F234" s="43"/>
      <c r="G234" s="48">
        <v>0</v>
      </c>
      <c r="H234" s="48">
        <v>45092.849545454541</v>
      </c>
      <c r="I234" s="50"/>
    </row>
    <row r="235" spans="1:9" x14ac:dyDescent="0.2">
      <c r="A235" s="40"/>
      <c r="B235" s="41"/>
      <c r="C235" s="43"/>
      <c r="D235" s="44"/>
      <c r="E235" s="43"/>
      <c r="F235" s="43"/>
      <c r="G235" s="48">
        <v>0</v>
      </c>
      <c r="H235" s="48">
        <v>76073.849545454505</v>
      </c>
      <c r="I235" s="50"/>
    </row>
    <row r="236" spans="1:9" x14ac:dyDescent="0.2">
      <c r="A236" s="40">
        <v>41</v>
      </c>
      <c r="B236" s="41" t="s">
        <v>161</v>
      </c>
      <c r="C236" s="43">
        <v>36212</v>
      </c>
      <c r="D236" s="44" t="s">
        <v>949</v>
      </c>
      <c r="E236" s="43" t="s">
        <v>658</v>
      </c>
      <c r="F236" s="43">
        <v>1</v>
      </c>
      <c r="G236" s="48">
        <v>99481.188181818186</v>
      </c>
      <c r="H236" s="48">
        <v>99481.188181818186</v>
      </c>
      <c r="I236" s="50">
        <v>198962.3763636364</v>
      </c>
    </row>
    <row r="237" spans="1:9" x14ac:dyDescent="0.2">
      <c r="A237" s="40"/>
      <c r="B237" s="41"/>
      <c r="C237" s="43"/>
      <c r="D237" s="44" t="s">
        <v>939</v>
      </c>
      <c r="E237" s="43" t="s">
        <v>659</v>
      </c>
      <c r="F237" s="43">
        <v>1</v>
      </c>
      <c r="G237" s="48">
        <v>99481.188181818201</v>
      </c>
      <c r="H237" s="48">
        <v>99481.188181818201</v>
      </c>
      <c r="I237" s="50"/>
    </row>
    <row r="238" spans="1:9" x14ac:dyDescent="0.2">
      <c r="A238" s="40"/>
      <c r="B238" s="41"/>
      <c r="C238" s="43"/>
      <c r="D238" s="43"/>
      <c r="E238" s="43"/>
      <c r="F238" s="43"/>
      <c r="G238" s="74">
        <v>0</v>
      </c>
      <c r="H238" s="48">
        <v>99481.188181818201</v>
      </c>
      <c r="I238" s="50"/>
    </row>
    <row r="239" spans="1:9" x14ac:dyDescent="0.2">
      <c r="A239" s="40"/>
      <c r="B239" s="41"/>
      <c r="C239" s="43"/>
      <c r="D239" s="44"/>
      <c r="E239" s="43"/>
      <c r="F239" s="43"/>
      <c r="G239" s="48">
        <v>0</v>
      </c>
      <c r="H239" s="48">
        <v>99481.188181818201</v>
      </c>
      <c r="I239" s="50"/>
    </row>
    <row r="240" spans="1:9" x14ac:dyDescent="0.2">
      <c r="A240" s="40"/>
      <c r="B240" s="41"/>
      <c r="C240" s="43"/>
      <c r="D240" s="44"/>
      <c r="E240" s="43"/>
      <c r="F240" s="43"/>
      <c r="G240" s="48">
        <v>0</v>
      </c>
      <c r="H240" s="48">
        <v>99481.188181818201</v>
      </c>
      <c r="I240" s="50"/>
    </row>
    <row r="241" spans="1:9" x14ac:dyDescent="0.2">
      <c r="A241" s="40"/>
      <c r="B241" s="41"/>
      <c r="C241" s="43"/>
      <c r="D241" s="44"/>
      <c r="E241" s="43"/>
      <c r="F241" s="43"/>
      <c r="G241" s="48">
        <v>0</v>
      </c>
      <c r="H241" s="48">
        <v>99481.188181818201</v>
      </c>
      <c r="I241" s="50"/>
    </row>
    <row r="242" spans="1:9" x14ac:dyDescent="0.2">
      <c r="A242" s="40"/>
      <c r="B242" s="41"/>
      <c r="C242" s="43"/>
      <c r="D242" s="44"/>
      <c r="E242" s="43"/>
      <c r="F242" s="43"/>
      <c r="G242" s="48">
        <v>0</v>
      </c>
      <c r="H242" s="48">
        <v>99481.188181818201</v>
      </c>
      <c r="I242" s="50"/>
    </row>
    <row r="243" spans="1:9" x14ac:dyDescent="0.2">
      <c r="A243" s="40">
        <v>42</v>
      </c>
      <c r="B243" s="41" t="s">
        <v>162</v>
      </c>
      <c r="C243" s="43">
        <v>36214</v>
      </c>
      <c r="D243" s="43"/>
      <c r="E243" s="43"/>
      <c r="F243" s="43"/>
      <c r="G243" s="48">
        <v>0</v>
      </c>
      <c r="H243" s="48">
        <v>99481.188181818186</v>
      </c>
      <c r="I243" s="50">
        <v>0</v>
      </c>
    </row>
    <row r="244" spans="1:9" x14ac:dyDescent="0.2">
      <c r="A244" s="40"/>
      <c r="B244" s="41"/>
      <c r="C244" s="43"/>
      <c r="D244" s="44"/>
      <c r="E244" s="43"/>
      <c r="F244" s="43"/>
      <c r="G244" s="48">
        <v>0</v>
      </c>
      <c r="H244" s="48">
        <v>99481.188181818201</v>
      </c>
      <c r="I244" s="50"/>
    </row>
    <row r="245" spans="1:9" x14ac:dyDescent="0.2">
      <c r="A245" s="40"/>
      <c r="B245" s="41"/>
      <c r="C245" s="43"/>
      <c r="D245" s="43"/>
      <c r="E245" s="43"/>
      <c r="F245" s="43"/>
      <c r="G245" s="48">
        <v>0</v>
      </c>
      <c r="H245" s="48">
        <v>99481.188181818201</v>
      </c>
      <c r="I245" s="50"/>
    </row>
    <row r="246" spans="1:9" x14ac:dyDescent="0.2">
      <c r="A246" s="40"/>
      <c r="B246" s="41"/>
      <c r="C246" s="43"/>
      <c r="D246" s="44"/>
      <c r="E246" s="43"/>
      <c r="F246" s="43"/>
      <c r="G246" s="48"/>
      <c r="H246" s="48">
        <v>99481.188181818201</v>
      </c>
      <c r="I246" s="50"/>
    </row>
    <row r="247" spans="1:9" x14ac:dyDescent="0.2">
      <c r="A247" s="40"/>
      <c r="B247" s="41"/>
      <c r="C247" s="43"/>
      <c r="D247" s="44"/>
      <c r="E247" s="43"/>
      <c r="F247" s="43"/>
      <c r="G247" s="48"/>
      <c r="H247" s="48">
        <v>99481.188181818201</v>
      </c>
      <c r="I247" s="50"/>
    </row>
    <row r="248" spans="1:9" x14ac:dyDescent="0.2">
      <c r="A248" s="40"/>
      <c r="B248" s="41"/>
      <c r="C248" s="43"/>
      <c r="D248" s="44"/>
      <c r="E248" s="43"/>
      <c r="F248" s="43"/>
      <c r="G248" s="48">
        <v>0</v>
      </c>
      <c r="H248" s="48">
        <v>99481.188181818201</v>
      </c>
      <c r="I248" s="50"/>
    </row>
    <row r="249" spans="1:9" x14ac:dyDescent="0.2">
      <c r="A249" s="40"/>
      <c r="B249" s="41"/>
      <c r="C249" s="43"/>
      <c r="D249" s="44"/>
      <c r="E249" s="43"/>
      <c r="F249" s="43"/>
      <c r="G249" s="48">
        <v>0</v>
      </c>
      <c r="H249" s="48">
        <v>99481.188181818201</v>
      </c>
      <c r="I249" s="50"/>
    </row>
    <row r="250" spans="1:9" x14ac:dyDescent="0.2">
      <c r="A250" s="40"/>
      <c r="B250" s="41"/>
      <c r="C250" s="43"/>
      <c r="D250" s="44"/>
      <c r="E250" s="43"/>
      <c r="F250" s="43"/>
      <c r="G250" s="48">
        <v>0</v>
      </c>
      <c r="H250" s="48">
        <v>99481.188181818201</v>
      </c>
      <c r="I250" s="50"/>
    </row>
    <row r="251" spans="1:9" x14ac:dyDescent="0.2">
      <c r="A251" s="40"/>
      <c r="B251" s="41"/>
      <c r="C251" s="43"/>
      <c r="D251" s="44"/>
      <c r="E251" s="43"/>
      <c r="F251" s="43"/>
      <c r="G251" s="48">
        <v>0</v>
      </c>
      <c r="H251" s="48">
        <v>99481.188181818201</v>
      </c>
      <c r="I251" s="50"/>
    </row>
    <row r="252" spans="1:9" x14ac:dyDescent="0.2">
      <c r="A252" s="40">
        <v>43</v>
      </c>
      <c r="B252" s="41" t="s">
        <v>164</v>
      </c>
      <c r="C252" s="43">
        <v>36215</v>
      </c>
      <c r="D252" s="44"/>
      <c r="E252" s="43"/>
      <c r="F252" s="43"/>
      <c r="G252" s="48">
        <v>0</v>
      </c>
      <c r="H252" s="48">
        <v>99481.188181818186</v>
      </c>
      <c r="I252" s="50">
        <v>0</v>
      </c>
    </row>
    <row r="253" spans="1:9" x14ac:dyDescent="0.2">
      <c r="A253" s="40"/>
      <c r="B253" s="41"/>
      <c r="C253" s="43"/>
      <c r="D253" s="44"/>
      <c r="E253" s="43"/>
      <c r="F253" s="43"/>
      <c r="G253" s="48">
        <v>0</v>
      </c>
      <c r="H253" s="48">
        <v>99481.188181818186</v>
      </c>
      <c r="I253" s="50"/>
    </row>
    <row r="254" spans="1:9" x14ac:dyDescent="0.2">
      <c r="A254" s="40"/>
      <c r="B254" s="41"/>
      <c r="C254" s="43"/>
      <c r="D254" s="44"/>
      <c r="E254" s="43"/>
      <c r="F254" s="43"/>
      <c r="G254" s="48">
        <v>0</v>
      </c>
      <c r="H254" s="48">
        <v>99481.188181818186</v>
      </c>
      <c r="I254" s="50"/>
    </row>
    <row r="255" spans="1:9" x14ac:dyDescent="0.2">
      <c r="A255" s="40"/>
      <c r="B255" s="41"/>
      <c r="C255" s="43"/>
      <c r="D255" s="44"/>
      <c r="E255" s="43"/>
      <c r="F255" s="43"/>
      <c r="G255" s="48">
        <v>0</v>
      </c>
      <c r="H255" s="48">
        <v>99481.188181818186</v>
      </c>
      <c r="I255" s="50"/>
    </row>
    <row r="256" spans="1:9" x14ac:dyDescent="0.2">
      <c r="A256" s="40"/>
      <c r="B256" s="41"/>
      <c r="C256" s="43"/>
      <c r="D256" s="43"/>
      <c r="E256" s="43"/>
      <c r="F256" s="43"/>
      <c r="G256" s="48">
        <v>0</v>
      </c>
      <c r="H256" s="48">
        <v>99481.188181818186</v>
      </c>
      <c r="I256" s="50"/>
    </row>
    <row r="257" spans="1:9" x14ac:dyDescent="0.2">
      <c r="A257" s="40"/>
      <c r="B257" s="41"/>
      <c r="C257" s="43"/>
      <c r="D257" s="44"/>
      <c r="E257" s="43"/>
      <c r="F257" s="43"/>
      <c r="G257" s="48">
        <v>0</v>
      </c>
      <c r="H257" s="48">
        <v>99481.188181818186</v>
      </c>
      <c r="I257" s="50"/>
    </row>
    <row r="258" spans="1:9" x14ac:dyDescent="0.2">
      <c r="A258" s="40">
        <v>44</v>
      </c>
      <c r="B258" s="41" t="s">
        <v>165</v>
      </c>
      <c r="C258" s="43">
        <v>36217</v>
      </c>
      <c r="D258" s="44"/>
      <c r="E258" s="43"/>
      <c r="F258" s="43"/>
      <c r="G258" s="48">
        <v>0</v>
      </c>
      <c r="H258" s="48">
        <v>99481.188181818186</v>
      </c>
      <c r="I258" s="50">
        <v>0</v>
      </c>
    </row>
    <row r="259" spans="1:9" x14ac:dyDescent="0.2">
      <c r="A259" s="40"/>
      <c r="B259" s="41"/>
      <c r="C259" s="43"/>
      <c r="D259" s="44"/>
      <c r="E259" s="43"/>
      <c r="F259" s="43"/>
      <c r="G259" s="48">
        <v>0</v>
      </c>
      <c r="H259" s="48">
        <v>99481.188181818186</v>
      </c>
      <c r="I259" s="50"/>
    </row>
    <row r="260" spans="1:9" x14ac:dyDescent="0.2">
      <c r="A260" s="40"/>
      <c r="B260" s="41"/>
      <c r="C260" s="43"/>
      <c r="D260" s="44"/>
      <c r="E260" s="43"/>
      <c r="F260" s="43"/>
      <c r="G260" s="48">
        <v>0</v>
      </c>
      <c r="H260" s="48">
        <v>99481.188181818186</v>
      </c>
      <c r="I260" s="50"/>
    </row>
    <row r="261" spans="1:9" x14ac:dyDescent="0.2">
      <c r="A261" s="40"/>
      <c r="B261" s="41"/>
      <c r="C261" s="43"/>
      <c r="D261" s="44"/>
      <c r="E261" s="43"/>
      <c r="F261" s="43"/>
      <c r="G261" s="48">
        <v>0</v>
      </c>
      <c r="H261" s="48">
        <v>99481.188181818186</v>
      </c>
      <c r="I261" s="50"/>
    </row>
    <row r="262" spans="1:9" x14ac:dyDescent="0.2">
      <c r="A262" s="40"/>
      <c r="B262" s="41"/>
      <c r="C262" s="47"/>
      <c r="D262" s="44"/>
      <c r="E262" s="43"/>
      <c r="F262" s="43"/>
      <c r="G262" s="48">
        <v>0</v>
      </c>
      <c r="H262" s="48">
        <v>99481.188181818186</v>
      </c>
      <c r="I262" s="50"/>
    </row>
    <row r="263" spans="1:9" x14ac:dyDescent="0.2">
      <c r="A263" s="40"/>
      <c r="B263" s="41"/>
      <c r="C263" s="47"/>
      <c r="D263" s="44"/>
      <c r="E263" s="43"/>
      <c r="F263" s="43"/>
      <c r="G263" s="48">
        <v>0</v>
      </c>
      <c r="H263" s="48">
        <v>99481.188181818186</v>
      </c>
      <c r="I263" s="50"/>
    </row>
    <row r="264" spans="1:9" x14ac:dyDescent="0.2">
      <c r="A264" s="40"/>
      <c r="B264" s="41"/>
      <c r="C264" s="47"/>
      <c r="D264" s="44"/>
      <c r="E264" s="43"/>
      <c r="F264" s="43"/>
      <c r="G264" s="48">
        <v>0</v>
      </c>
      <c r="H264" s="48">
        <v>99481.188181818186</v>
      </c>
      <c r="I264" s="50"/>
    </row>
    <row r="265" spans="1:9" x14ac:dyDescent="0.2">
      <c r="A265" s="40">
        <v>45</v>
      </c>
      <c r="B265" s="129" t="s">
        <v>167</v>
      </c>
      <c r="C265" s="127">
        <v>36221</v>
      </c>
      <c r="D265" s="128" t="s">
        <v>939</v>
      </c>
      <c r="E265" s="124" t="s">
        <v>657</v>
      </c>
      <c r="F265" s="124">
        <v>1.3874999999999997</v>
      </c>
      <c r="G265" s="125">
        <v>105552.46624431816</v>
      </c>
      <c r="H265" s="125">
        <v>76073.849545454548</v>
      </c>
      <c r="I265" s="126">
        <v>119911.40534602272</v>
      </c>
    </row>
    <row r="266" spans="1:9" x14ac:dyDescent="0.2">
      <c r="A266" s="40"/>
      <c r="B266" s="129"/>
      <c r="C266" s="127"/>
      <c r="D266" s="128" t="s">
        <v>952</v>
      </c>
      <c r="E266" s="124" t="s">
        <v>662</v>
      </c>
      <c r="F266" s="124">
        <v>0.1887500000000002</v>
      </c>
      <c r="G266" s="125">
        <v>14358.939101704553</v>
      </c>
      <c r="H266" s="125">
        <v>76073.849545454505</v>
      </c>
      <c r="I266" s="126"/>
    </row>
    <row r="267" spans="1:9" x14ac:dyDescent="0.2">
      <c r="A267" s="40"/>
      <c r="B267" s="41"/>
      <c r="C267" s="47"/>
      <c r="D267" s="44"/>
      <c r="E267" s="43"/>
      <c r="F267" s="43"/>
      <c r="G267" s="48">
        <v>0</v>
      </c>
      <c r="H267" s="48">
        <v>76073.849545454505</v>
      </c>
      <c r="I267" s="50"/>
    </row>
    <row r="268" spans="1:9" x14ac:dyDescent="0.2">
      <c r="A268" s="40">
        <v>46</v>
      </c>
      <c r="B268" s="129" t="s">
        <v>169</v>
      </c>
      <c r="C268" s="127">
        <v>36224</v>
      </c>
      <c r="D268" s="128" t="s">
        <v>938</v>
      </c>
      <c r="E268" s="124" t="s">
        <v>959</v>
      </c>
      <c r="F268" s="124">
        <v>1</v>
      </c>
      <c r="G268" s="125">
        <v>99481.188181818186</v>
      </c>
      <c r="H268" s="125">
        <v>99481.188181818186</v>
      </c>
      <c r="I268" s="126">
        <v>99481.188181818186</v>
      </c>
    </row>
    <row r="269" spans="1:9" x14ac:dyDescent="0.2">
      <c r="A269" s="40">
        <v>47</v>
      </c>
      <c r="B269" s="129" t="s">
        <v>171</v>
      </c>
      <c r="C269" s="127">
        <v>36225</v>
      </c>
      <c r="D269" s="128" t="s">
        <v>950</v>
      </c>
      <c r="E269" s="124" t="s">
        <v>662</v>
      </c>
      <c r="F269" s="124">
        <v>0.67499999999999982</v>
      </c>
      <c r="G269" s="125">
        <v>51349.848443181807</v>
      </c>
      <c r="H269" s="125">
        <v>76073.849545454548</v>
      </c>
      <c r="I269" s="126">
        <v>148058.72967784083</v>
      </c>
    </row>
    <row r="270" spans="1:9" x14ac:dyDescent="0.2">
      <c r="A270" s="40"/>
      <c r="B270" s="129"/>
      <c r="C270" s="127"/>
      <c r="D270" s="128" t="s">
        <v>952</v>
      </c>
      <c r="E270" s="124" t="s">
        <v>662</v>
      </c>
      <c r="F270" s="124">
        <v>0.26874999999999982</v>
      </c>
      <c r="G270" s="125">
        <v>20444.847065340884</v>
      </c>
      <c r="H270" s="125">
        <v>76073.849545454505</v>
      </c>
      <c r="I270" s="126"/>
    </row>
    <row r="271" spans="1:9" x14ac:dyDescent="0.2">
      <c r="A271" s="40"/>
      <c r="B271" s="129"/>
      <c r="C271" s="127"/>
      <c r="D271" s="128" t="s">
        <v>945</v>
      </c>
      <c r="E271" s="124" t="s">
        <v>662</v>
      </c>
      <c r="F271" s="124">
        <v>0.44499999999999984</v>
      </c>
      <c r="G271" s="125">
        <v>33852.863047727245</v>
      </c>
      <c r="H271" s="125">
        <v>76073.849545454505</v>
      </c>
      <c r="I271" s="126"/>
    </row>
    <row r="272" spans="1:9" x14ac:dyDescent="0.2">
      <c r="A272" s="40"/>
      <c r="B272" s="129"/>
      <c r="C272" s="127"/>
      <c r="D272" s="124" t="s">
        <v>946</v>
      </c>
      <c r="E272" s="124" t="s">
        <v>662</v>
      </c>
      <c r="F272" s="124">
        <v>0.55750000000000011</v>
      </c>
      <c r="G272" s="125">
        <v>42411.171121590894</v>
      </c>
      <c r="H272" s="125">
        <v>76073.849545454505</v>
      </c>
      <c r="I272" s="126"/>
    </row>
    <row r="273" spans="1:9" x14ac:dyDescent="0.2">
      <c r="A273" s="40"/>
      <c r="B273" s="41"/>
      <c r="C273" s="47"/>
      <c r="D273" s="43"/>
      <c r="E273" s="43"/>
      <c r="F273" s="43"/>
      <c r="G273" s="48">
        <v>0</v>
      </c>
      <c r="H273" s="48">
        <v>76073.849545454505</v>
      </c>
      <c r="I273" s="50"/>
    </row>
    <row r="274" spans="1:9" x14ac:dyDescent="0.2">
      <c r="A274" s="40"/>
      <c r="B274" s="41"/>
      <c r="C274" s="43"/>
      <c r="D274" s="43"/>
      <c r="E274" s="43"/>
      <c r="F274" s="43"/>
      <c r="G274" s="48">
        <v>0</v>
      </c>
      <c r="H274" s="48">
        <v>76073.849545454505</v>
      </c>
      <c r="I274" s="50"/>
    </row>
    <row r="275" spans="1:9" x14ac:dyDescent="0.2">
      <c r="A275" s="40"/>
      <c r="B275" s="41"/>
      <c r="C275" s="43"/>
      <c r="D275" s="45"/>
      <c r="E275" s="43"/>
      <c r="F275" s="43"/>
      <c r="G275" s="48">
        <v>0</v>
      </c>
      <c r="H275" s="48">
        <v>76073.849545454505</v>
      </c>
      <c r="I275" s="50"/>
    </row>
    <row r="276" spans="1:9" x14ac:dyDescent="0.2">
      <c r="A276" s="40"/>
      <c r="B276" s="41"/>
      <c r="C276" s="43"/>
      <c r="D276" s="45"/>
      <c r="E276" s="43"/>
      <c r="F276" s="43"/>
      <c r="G276" s="48">
        <v>0</v>
      </c>
      <c r="H276" s="48">
        <v>76073.849545454505</v>
      </c>
      <c r="I276" s="50"/>
    </row>
    <row r="277" spans="1:9" x14ac:dyDescent="0.2">
      <c r="A277" s="40">
        <v>48</v>
      </c>
      <c r="B277" s="129" t="s">
        <v>175</v>
      </c>
      <c r="C277" s="124">
        <v>36229</v>
      </c>
      <c r="D277" s="130" t="s">
        <v>954</v>
      </c>
      <c r="E277" s="124" t="s">
        <v>657</v>
      </c>
      <c r="F277" s="124">
        <v>1</v>
      </c>
      <c r="G277" s="125">
        <v>76073.849545454548</v>
      </c>
      <c r="H277" s="125">
        <v>76073.849545454548</v>
      </c>
      <c r="I277" s="126">
        <v>302869.013502841</v>
      </c>
    </row>
    <row r="278" spans="1:9" x14ac:dyDescent="0.2">
      <c r="A278" s="40"/>
      <c r="B278" s="129"/>
      <c r="C278" s="124"/>
      <c r="D278" s="130" t="s">
        <v>951</v>
      </c>
      <c r="E278" s="124" t="s">
        <v>657</v>
      </c>
      <c r="F278" s="124">
        <v>1</v>
      </c>
      <c r="G278" s="125">
        <v>76073.849545454548</v>
      </c>
      <c r="H278" s="125">
        <v>76073.849545454548</v>
      </c>
      <c r="I278" s="126"/>
    </row>
    <row r="279" spans="1:9" x14ac:dyDescent="0.2">
      <c r="A279" s="40"/>
      <c r="B279" s="129"/>
      <c r="C279" s="124"/>
      <c r="D279" s="130" t="s">
        <v>941</v>
      </c>
      <c r="E279" s="124" t="s">
        <v>657</v>
      </c>
      <c r="F279" s="124">
        <v>1</v>
      </c>
      <c r="G279" s="125">
        <v>76073.849545454548</v>
      </c>
      <c r="H279" s="125">
        <v>76073.849545454548</v>
      </c>
      <c r="I279" s="126"/>
    </row>
    <row r="280" spans="1:9" x14ac:dyDescent="0.2">
      <c r="A280" s="40"/>
      <c r="B280" s="129"/>
      <c r="C280" s="124"/>
      <c r="D280" s="130" t="s">
        <v>957</v>
      </c>
      <c r="E280" s="124" t="s">
        <v>662</v>
      </c>
      <c r="F280" s="124">
        <v>0.3137500000000002</v>
      </c>
      <c r="G280" s="125">
        <v>23868.170294886379</v>
      </c>
      <c r="H280" s="125">
        <v>76073.849545454548</v>
      </c>
      <c r="I280" s="126"/>
    </row>
    <row r="281" spans="1:9" x14ac:dyDescent="0.2">
      <c r="A281" s="40"/>
      <c r="B281" s="129"/>
      <c r="C281" s="124"/>
      <c r="D281" s="130" t="s">
        <v>947</v>
      </c>
      <c r="E281" s="124" t="s">
        <v>662</v>
      </c>
      <c r="F281" s="124">
        <v>0.12875000000000014</v>
      </c>
      <c r="G281" s="125">
        <v>9794.5081289772843</v>
      </c>
      <c r="H281" s="125">
        <v>76073.849545454548</v>
      </c>
      <c r="I281" s="126"/>
    </row>
    <row r="282" spans="1:9" x14ac:dyDescent="0.2">
      <c r="A282" s="40"/>
      <c r="B282" s="129"/>
      <c r="C282" s="124"/>
      <c r="D282" s="134" t="s">
        <v>960</v>
      </c>
      <c r="E282" s="124" t="s">
        <v>662</v>
      </c>
      <c r="F282" s="124">
        <v>0.17125000000000012</v>
      </c>
      <c r="G282" s="125">
        <v>13027.646734659102</v>
      </c>
      <c r="H282" s="125">
        <v>76073.849545454548</v>
      </c>
      <c r="I282" s="126"/>
    </row>
    <row r="283" spans="1:9" x14ac:dyDescent="0.2">
      <c r="A283" s="40"/>
      <c r="B283" s="129"/>
      <c r="C283" s="127"/>
      <c r="D283" s="124" t="s">
        <v>961</v>
      </c>
      <c r="E283" s="124" t="s">
        <v>662</v>
      </c>
      <c r="F283" s="124">
        <v>0.19874999999999998</v>
      </c>
      <c r="G283" s="125">
        <v>15119.677597159091</v>
      </c>
      <c r="H283" s="125">
        <v>76073.849545454548</v>
      </c>
      <c r="I283" s="126"/>
    </row>
    <row r="284" spans="1:9" x14ac:dyDescent="0.2">
      <c r="A284" s="40"/>
      <c r="B284" s="129"/>
      <c r="C284" s="127"/>
      <c r="D284" s="124" t="s">
        <v>946</v>
      </c>
      <c r="E284" s="124" t="s">
        <v>662</v>
      </c>
      <c r="F284" s="124">
        <v>0.16875000000000018</v>
      </c>
      <c r="G284" s="125">
        <v>12837.462110795468</v>
      </c>
      <c r="H284" s="125">
        <v>76073.849545454548</v>
      </c>
      <c r="I284" s="126"/>
    </row>
    <row r="285" spans="1:9" x14ac:dyDescent="0.2">
      <c r="A285" s="40"/>
      <c r="B285" s="41"/>
      <c r="C285" s="47"/>
      <c r="D285" s="43"/>
      <c r="E285" s="43"/>
      <c r="F285" s="43"/>
      <c r="G285" s="48">
        <v>0</v>
      </c>
      <c r="H285" s="48">
        <v>76073.849545454548</v>
      </c>
      <c r="I285" s="50"/>
    </row>
    <row r="286" spans="1:9" x14ac:dyDescent="0.2">
      <c r="A286" s="40"/>
      <c r="B286" s="41"/>
      <c r="C286" s="47"/>
      <c r="D286" s="45"/>
      <c r="E286" s="43"/>
      <c r="F286" s="43"/>
      <c r="G286" s="48">
        <v>0</v>
      </c>
      <c r="H286" s="48">
        <v>76073.849545454548</v>
      </c>
      <c r="I286" s="50"/>
    </row>
    <row r="287" spans="1:9" x14ac:dyDescent="0.2">
      <c r="A287" s="40">
        <v>49</v>
      </c>
      <c r="B287" s="129" t="s">
        <v>178</v>
      </c>
      <c r="C287" s="127">
        <v>36231</v>
      </c>
      <c r="D287" s="130" t="s">
        <v>939</v>
      </c>
      <c r="E287" s="124" t="s">
        <v>657</v>
      </c>
      <c r="F287" s="124">
        <v>1</v>
      </c>
      <c r="G287" s="125">
        <v>99481.188181818186</v>
      </c>
      <c r="H287" s="125">
        <v>99481.188181818186</v>
      </c>
      <c r="I287" s="126">
        <v>99481.188181818186</v>
      </c>
    </row>
    <row r="288" spans="1:9" x14ac:dyDescent="0.2">
      <c r="A288" s="40"/>
      <c r="B288" s="41"/>
      <c r="C288" s="47"/>
      <c r="D288" s="45"/>
      <c r="E288" s="43"/>
      <c r="F288" s="43"/>
      <c r="G288" s="48">
        <v>0</v>
      </c>
      <c r="H288" s="48">
        <v>99481.188181818186</v>
      </c>
      <c r="I288" s="50"/>
    </row>
    <row r="289" spans="1:9" x14ac:dyDescent="0.2">
      <c r="A289" s="40"/>
      <c r="B289" s="41"/>
      <c r="C289" s="47"/>
      <c r="D289" s="42"/>
      <c r="E289" s="43"/>
      <c r="F289" s="43"/>
      <c r="G289" s="48">
        <v>0</v>
      </c>
      <c r="H289" s="48">
        <v>99481.188181818186</v>
      </c>
      <c r="I289" s="50"/>
    </row>
    <row r="290" spans="1:9" x14ac:dyDescent="0.2">
      <c r="A290" s="40"/>
      <c r="B290" s="41"/>
      <c r="C290" s="47"/>
      <c r="D290" s="42"/>
      <c r="E290" s="43"/>
      <c r="F290" s="43"/>
      <c r="G290" s="48">
        <v>0</v>
      </c>
      <c r="H290" s="48">
        <v>99481.188181818186</v>
      </c>
      <c r="I290" s="50"/>
    </row>
    <row r="291" spans="1:9" x14ac:dyDescent="0.2">
      <c r="A291" s="40"/>
      <c r="B291" s="41"/>
      <c r="C291" s="47"/>
      <c r="D291" s="44"/>
      <c r="E291" s="43"/>
      <c r="F291" s="43"/>
      <c r="G291" s="48">
        <v>0</v>
      </c>
      <c r="H291" s="48">
        <v>99481.188181818186</v>
      </c>
      <c r="I291" s="50"/>
    </row>
    <row r="292" spans="1:9" x14ac:dyDescent="0.2">
      <c r="A292" s="40">
        <v>50</v>
      </c>
      <c r="B292" s="41" t="s">
        <v>186</v>
      </c>
      <c r="C292" s="47">
        <v>36237</v>
      </c>
      <c r="D292" s="44"/>
      <c r="E292" s="43"/>
      <c r="F292" s="43"/>
      <c r="G292" s="48">
        <v>0</v>
      </c>
      <c r="H292" s="48">
        <v>99481.188181818186</v>
      </c>
      <c r="I292" s="50">
        <v>0</v>
      </c>
    </row>
    <row r="293" spans="1:9" x14ac:dyDescent="0.2">
      <c r="A293" s="40"/>
      <c r="B293" s="41"/>
      <c r="C293" s="47"/>
      <c r="D293" s="44"/>
      <c r="E293" s="43"/>
      <c r="F293" s="43"/>
      <c r="G293" s="48">
        <v>0</v>
      </c>
      <c r="H293" s="48">
        <v>99481.188181818186</v>
      </c>
      <c r="I293" s="50"/>
    </row>
    <row r="294" spans="1:9" x14ac:dyDescent="0.2">
      <c r="A294" s="40"/>
      <c r="B294" s="41"/>
      <c r="C294" s="47"/>
      <c r="D294" s="44"/>
      <c r="E294" s="43"/>
      <c r="F294" s="43"/>
      <c r="G294" s="48">
        <v>0</v>
      </c>
      <c r="H294" s="48">
        <v>99481.188181818186</v>
      </c>
      <c r="I294" s="50"/>
    </row>
    <row r="295" spans="1:9" x14ac:dyDescent="0.2">
      <c r="A295" s="40"/>
      <c r="B295" s="41"/>
      <c r="C295" s="47"/>
      <c r="D295" s="44"/>
      <c r="E295" s="43"/>
      <c r="F295" s="43"/>
      <c r="G295" s="48">
        <v>0</v>
      </c>
      <c r="H295" s="48">
        <v>99481.188181818186</v>
      </c>
      <c r="I295" s="50"/>
    </row>
    <row r="296" spans="1:9" x14ac:dyDescent="0.2">
      <c r="A296" s="40">
        <v>51</v>
      </c>
      <c r="B296" s="129" t="s">
        <v>188</v>
      </c>
      <c r="C296" s="127">
        <v>36238</v>
      </c>
      <c r="D296" s="128" t="s">
        <v>942</v>
      </c>
      <c r="E296" s="124" t="s">
        <v>662</v>
      </c>
      <c r="F296" s="124">
        <v>0.1549999999999998</v>
      </c>
      <c r="G296" s="125">
        <v>11791.446679545441</v>
      </c>
      <c r="H296" s="125">
        <v>76073.849545454548</v>
      </c>
      <c r="I296" s="126">
        <v>101938.95839090907</v>
      </c>
    </row>
    <row r="297" spans="1:9" x14ac:dyDescent="0.2">
      <c r="A297" s="40"/>
      <c r="B297" s="129"/>
      <c r="C297" s="127"/>
      <c r="D297" s="124" t="s">
        <v>948</v>
      </c>
      <c r="E297" s="124" t="s">
        <v>662</v>
      </c>
      <c r="F297" s="124">
        <v>0.26374999999999993</v>
      </c>
      <c r="G297" s="125">
        <v>20064.477817613631</v>
      </c>
      <c r="H297" s="125">
        <v>76073.849545454548</v>
      </c>
      <c r="I297" s="126"/>
    </row>
    <row r="298" spans="1:9" x14ac:dyDescent="0.2">
      <c r="A298" s="40"/>
      <c r="B298" s="129"/>
      <c r="C298" s="127"/>
      <c r="D298" s="124" t="s">
        <v>956</v>
      </c>
      <c r="E298" s="124" t="s">
        <v>662</v>
      </c>
      <c r="F298" s="124">
        <v>0.38624999999999998</v>
      </c>
      <c r="G298" s="125">
        <v>29383.524386931818</v>
      </c>
      <c r="H298" s="125">
        <v>76073.849545454548</v>
      </c>
      <c r="I298" s="126"/>
    </row>
    <row r="299" spans="1:9" x14ac:dyDescent="0.2">
      <c r="A299" s="40"/>
      <c r="B299" s="129"/>
      <c r="C299" s="127"/>
      <c r="D299" s="128" t="s">
        <v>958</v>
      </c>
      <c r="E299" s="124" t="s">
        <v>662</v>
      </c>
      <c r="F299" s="124">
        <v>0.53500000000000014</v>
      </c>
      <c r="G299" s="125">
        <v>40699.509506818191</v>
      </c>
      <c r="H299" s="125">
        <v>76073.849545454548</v>
      </c>
      <c r="I299" s="126"/>
    </row>
    <row r="300" spans="1:9" x14ac:dyDescent="0.2">
      <c r="A300" s="40"/>
      <c r="B300" s="41"/>
      <c r="C300" s="47"/>
      <c r="D300" s="44"/>
      <c r="E300" s="43"/>
      <c r="F300" s="43"/>
      <c r="G300" s="48">
        <v>0</v>
      </c>
      <c r="H300" s="48">
        <v>76073.849545454548</v>
      </c>
      <c r="I300" s="50"/>
    </row>
    <row r="301" spans="1:9" x14ac:dyDescent="0.2">
      <c r="A301" s="40">
        <v>52</v>
      </c>
      <c r="B301" s="129" t="s">
        <v>193</v>
      </c>
      <c r="C301" s="127">
        <v>36242</v>
      </c>
      <c r="D301" s="124" t="s">
        <v>960</v>
      </c>
      <c r="E301" s="124" t="s">
        <v>659</v>
      </c>
      <c r="F301" s="124">
        <v>1</v>
      </c>
      <c r="G301" s="125">
        <v>99481.188181818186</v>
      </c>
      <c r="H301" s="125">
        <v>99481.188181818186</v>
      </c>
      <c r="I301" s="126">
        <v>198962.3763636364</v>
      </c>
    </row>
    <row r="302" spans="1:9" x14ac:dyDescent="0.2">
      <c r="A302" s="40"/>
      <c r="B302" s="129"/>
      <c r="C302" s="127"/>
      <c r="D302" s="124" t="s">
        <v>953</v>
      </c>
      <c r="E302" s="124" t="s">
        <v>658</v>
      </c>
      <c r="F302" s="124">
        <v>1</v>
      </c>
      <c r="G302" s="125">
        <v>99481.188181818201</v>
      </c>
      <c r="H302" s="125">
        <v>99481.188181818201</v>
      </c>
      <c r="I302" s="126"/>
    </row>
    <row r="303" spans="1:9" x14ac:dyDescent="0.2">
      <c r="A303" s="40"/>
      <c r="B303" s="41"/>
      <c r="C303" s="47"/>
      <c r="D303" s="43"/>
      <c r="E303" s="43"/>
      <c r="F303" s="43"/>
      <c r="G303" s="48">
        <v>0</v>
      </c>
      <c r="H303" s="48">
        <v>99481.188181818201</v>
      </c>
      <c r="I303" s="50"/>
    </row>
    <row r="304" spans="1:9" x14ac:dyDescent="0.2">
      <c r="A304" s="40"/>
      <c r="B304" s="41"/>
      <c r="C304" s="47"/>
      <c r="D304" s="43"/>
      <c r="E304" s="43"/>
      <c r="F304" s="43"/>
      <c r="G304" s="48">
        <v>0</v>
      </c>
      <c r="H304" s="48">
        <v>99481.188181818201</v>
      </c>
      <c r="I304" s="50"/>
    </row>
    <row r="305" spans="1:9" x14ac:dyDescent="0.2">
      <c r="A305" s="40"/>
      <c r="B305" s="41"/>
      <c r="C305" s="47"/>
      <c r="D305" s="43"/>
      <c r="E305" s="43"/>
      <c r="F305" s="43"/>
      <c r="G305" s="48">
        <v>0</v>
      </c>
      <c r="H305" s="48">
        <v>99481.188181818201</v>
      </c>
      <c r="I305" s="50"/>
    </row>
    <row r="306" spans="1:9" x14ac:dyDescent="0.2">
      <c r="A306" s="40"/>
      <c r="B306" s="41"/>
      <c r="C306" s="47"/>
      <c r="D306" s="43"/>
      <c r="E306" s="43"/>
      <c r="F306" s="43"/>
      <c r="G306" s="48">
        <v>0</v>
      </c>
      <c r="H306" s="48">
        <v>99481.188181818201</v>
      </c>
      <c r="I306" s="50"/>
    </row>
    <row r="307" spans="1:9" x14ac:dyDescent="0.2">
      <c r="A307" s="40">
        <v>53</v>
      </c>
      <c r="B307" s="129" t="s">
        <v>195</v>
      </c>
      <c r="C307" s="127">
        <v>36243</v>
      </c>
      <c r="D307" s="128" t="s">
        <v>953</v>
      </c>
      <c r="E307" s="124" t="s">
        <v>657</v>
      </c>
      <c r="F307" s="124">
        <v>1.35</v>
      </c>
      <c r="G307" s="125">
        <v>102699.69688636364</v>
      </c>
      <c r="H307" s="125">
        <v>76073.849545454548</v>
      </c>
      <c r="I307" s="126">
        <v>102699.69688636364</v>
      </c>
    </row>
    <row r="308" spans="1:9" x14ac:dyDescent="0.2">
      <c r="A308" s="40"/>
      <c r="B308" s="41"/>
      <c r="C308" s="47"/>
      <c r="D308" s="44"/>
      <c r="E308" s="43"/>
      <c r="F308" s="43"/>
      <c r="G308" s="48">
        <v>0</v>
      </c>
      <c r="H308" s="48">
        <v>76073.849545454505</v>
      </c>
      <c r="I308" s="50"/>
    </row>
    <row r="309" spans="1:9" x14ac:dyDescent="0.2">
      <c r="A309" s="40"/>
      <c r="B309" s="41"/>
      <c r="C309" s="47"/>
      <c r="D309" s="44"/>
      <c r="E309" s="43"/>
      <c r="F309" s="43"/>
      <c r="G309" s="48">
        <v>0</v>
      </c>
      <c r="H309" s="48">
        <v>76073.849545454505</v>
      </c>
      <c r="I309" s="50"/>
    </row>
    <row r="310" spans="1:9" x14ac:dyDescent="0.2">
      <c r="A310" s="40"/>
      <c r="B310" s="41"/>
      <c r="C310" s="47"/>
      <c r="D310" s="44"/>
      <c r="E310" s="43"/>
      <c r="F310" s="43"/>
      <c r="G310" s="48">
        <v>0</v>
      </c>
      <c r="H310" s="48">
        <v>76073.849545454505</v>
      </c>
      <c r="I310" s="50"/>
    </row>
    <row r="311" spans="1:9" x14ac:dyDescent="0.2">
      <c r="A311" s="40"/>
      <c r="B311" s="41"/>
      <c r="C311" s="47"/>
      <c r="D311" s="44"/>
      <c r="E311" s="43"/>
      <c r="F311" s="43"/>
      <c r="G311" s="48">
        <v>0</v>
      </c>
      <c r="H311" s="48">
        <v>76073.849545454548</v>
      </c>
      <c r="I311" s="50"/>
    </row>
    <row r="312" spans="1:9" x14ac:dyDescent="0.2">
      <c r="A312" s="40">
        <v>54</v>
      </c>
      <c r="B312" s="129" t="s">
        <v>197</v>
      </c>
      <c r="C312" s="127">
        <v>36254</v>
      </c>
      <c r="D312" s="128" t="s">
        <v>949</v>
      </c>
      <c r="E312" s="124" t="s">
        <v>659</v>
      </c>
      <c r="F312" s="124">
        <v>1</v>
      </c>
      <c r="G312" s="125">
        <v>99481.188181818186</v>
      </c>
      <c r="H312" s="125">
        <v>99481.188181818186</v>
      </c>
      <c r="I312" s="126">
        <v>99481.188181818186</v>
      </c>
    </row>
    <row r="313" spans="1:9" x14ac:dyDescent="0.2">
      <c r="A313" s="40"/>
      <c r="B313" s="41"/>
      <c r="C313" s="47"/>
      <c r="D313" s="45"/>
      <c r="E313" s="43"/>
      <c r="F313" s="43"/>
      <c r="G313" s="48">
        <v>0</v>
      </c>
      <c r="H313" s="48">
        <v>99481.188181818201</v>
      </c>
      <c r="I313" s="50"/>
    </row>
    <row r="314" spans="1:9" x14ac:dyDescent="0.2">
      <c r="A314" s="40"/>
      <c r="B314" s="41"/>
      <c r="C314" s="47"/>
      <c r="D314" s="45"/>
      <c r="E314" s="43"/>
      <c r="F314" s="43"/>
      <c r="G314" s="48">
        <v>0</v>
      </c>
      <c r="H314" s="48">
        <v>99481.188181818201</v>
      </c>
      <c r="I314" s="50"/>
    </row>
    <row r="315" spans="1:9" x14ac:dyDescent="0.2">
      <c r="A315" s="40"/>
      <c r="B315" s="41"/>
      <c r="C315" s="47"/>
      <c r="D315" s="45"/>
      <c r="E315" s="43"/>
      <c r="F315" s="43"/>
      <c r="G315" s="48">
        <v>0</v>
      </c>
      <c r="H315" s="48">
        <v>99481.188181818201</v>
      </c>
      <c r="I315" s="50"/>
    </row>
    <row r="316" spans="1:9" x14ac:dyDescent="0.2">
      <c r="A316" s="40"/>
      <c r="B316" s="41"/>
      <c r="C316" s="47"/>
      <c r="D316" s="45"/>
      <c r="E316" s="43"/>
      <c r="F316" s="43"/>
      <c r="G316" s="48">
        <v>0</v>
      </c>
      <c r="H316" s="48">
        <v>99481.188181818201</v>
      </c>
      <c r="I316" s="50"/>
    </row>
    <row r="317" spans="1:9" x14ac:dyDescent="0.2">
      <c r="A317" s="40"/>
      <c r="B317" s="41"/>
      <c r="C317" s="47"/>
      <c r="D317" s="44"/>
      <c r="E317" s="43"/>
      <c r="F317" s="43"/>
      <c r="G317" s="48">
        <v>0</v>
      </c>
      <c r="H317" s="48">
        <v>99481.188181818201</v>
      </c>
      <c r="I317" s="50"/>
    </row>
    <row r="318" spans="1:9" x14ac:dyDescent="0.2">
      <c r="A318" s="40">
        <v>55</v>
      </c>
      <c r="B318" s="41" t="s">
        <v>199</v>
      </c>
      <c r="C318" s="47">
        <v>36259</v>
      </c>
      <c r="D318" s="44"/>
      <c r="E318" s="43"/>
      <c r="F318" s="43"/>
      <c r="G318" s="48">
        <v>0</v>
      </c>
      <c r="H318" s="48">
        <v>99481.188181818186</v>
      </c>
      <c r="I318" s="50">
        <v>0</v>
      </c>
    </row>
    <row r="319" spans="1:9" x14ac:dyDescent="0.2">
      <c r="A319" s="40"/>
      <c r="B319" s="41"/>
      <c r="C319" s="47"/>
      <c r="D319" s="44"/>
      <c r="E319" s="43"/>
      <c r="F319" s="43"/>
      <c r="G319" s="48">
        <v>0</v>
      </c>
      <c r="H319" s="48">
        <v>99481.188181818201</v>
      </c>
      <c r="I319" s="50"/>
    </row>
    <row r="320" spans="1:9" x14ac:dyDescent="0.2">
      <c r="A320" s="40">
        <v>56</v>
      </c>
      <c r="B320" s="129" t="s">
        <v>201</v>
      </c>
      <c r="C320" s="127">
        <v>36265</v>
      </c>
      <c r="D320" s="128" t="s">
        <v>949</v>
      </c>
      <c r="E320" s="124" t="s">
        <v>657</v>
      </c>
      <c r="F320" s="124">
        <v>1</v>
      </c>
      <c r="G320" s="125">
        <v>99481.188181818186</v>
      </c>
      <c r="H320" s="125">
        <v>99481.188181818186</v>
      </c>
      <c r="I320" s="126">
        <v>99481.188181818186</v>
      </c>
    </row>
    <row r="321" spans="1:9" x14ac:dyDescent="0.2">
      <c r="A321" s="40"/>
      <c r="B321" s="41"/>
      <c r="C321" s="47"/>
      <c r="D321" s="44"/>
      <c r="E321" s="43"/>
      <c r="F321" s="43"/>
      <c r="G321" s="48">
        <v>0</v>
      </c>
      <c r="H321" s="48">
        <v>99481.188181818201</v>
      </c>
      <c r="I321" s="50"/>
    </row>
    <row r="322" spans="1:9" x14ac:dyDescent="0.2">
      <c r="A322" s="40"/>
      <c r="B322" s="41"/>
      <c r="C322" s="47"/>
      <c r="D322" s="43"/>
      <c r="E322" s="43"/>
      <c r="F322" s="43"/>
      <c r="G322" s="48">
        <v>0</v>
      </c>
      <c r="H322" s="48">
        <v>99481.188181818201</v>
      </c>
      <c r="I322" s="50"/>
    </row>
    <row r="323" spans="1:9" x14ac:dyDescent="0.2">
      <c r="A323" s="40"/>
      <c r="B323" s="41"/>
      <c r="C323" s="47"/>
      <c r="D323" s="44"/>
      <c r="E323" s="43"/>
      <c r="F323" s="43"/>
      <c r="G323" s="48">
        <v>0</v>
      </c>
      <c r="H323" s="48">
        <v>99481.188181818201</v>
      </c>
      <c r="I323" s="50"/>
    </row>
    <row r="324" spans="1:9" x14ac:dyDescent="0.2">
      <c r="A324" s="40"/>
      <c r="B324" s="41"/>
      <c r="C324" s="47"/>
      <c r="D324" s="44"/>
      <c r="E324" s="43"/>
      <c r="F324" s="43"/>
      <c r="G324" s="48">
        <v>0</v>
      </c>
      <c r="H324" s="48">
        <v>99481.188181818201</v>
      </c>
      <c r="I324" s="50"/>
    </row>
    <row r="325" spans="1:9" x14ac:dyDescent="0.2">
      <c r="A325" s="40"/>
      <c r="B325" s="41"/>
      <c r="C325" s="47"/>
      <c r="D325" s="44"/>
      <c r="E325" s="43"/>
      <c r="F325" s="43"/>
      <c r="G325" s="48">
        <v>0</v>
      </c>
      <c r="H325" s="48">
        <v>99481.188181818186</v>
      </c>
      <c r="I325" s="50"/>
    </row>
    <row r="326" spans="1:9" x14ac:dyDescent="0.2">
      <c r="A326" s="40"/>
      <c r="B326" s="41"/>
      <c r="C326" s="47"/>
      <c r="D326" s="44"/>
      <c r="E326" s="43"/>
      <c r="F326" s="43"/>
      <c r="G326" s="48">
        <v>0</v>
      </c>
      <c r="H326" s="48">
        <v>99481.188181818186</v>
      </c>
      <c r="I326" s="50"/>
    </row>
    <row r="327" spans="1:9" x14ac:dyDescent="0.2">
      <c r="A327" s="40"/>
      <c r="B327" s="41"/>
      <c r="C327" s="47"/>
      <c r="D327" s="43"/>
      <c r="E327" s="43"/>
      <c r="F327" s="43"/>
      <c r="G327" s="48">
        <v>0</v>
      </c>
      <c r="H327" s="48">
        <v>99481.188181818186</v>
      </c>
      <c r="I327" s="50"/>
    </row>
    <row r="328" spans="1:9" x14ac:dyDescent="0.2">
      <c r="A328" s="40">
        <v>57</v>
      </c>
      <c r="B328" s="129" t="s">
        <v>203</v>
      </c>
      <c r="C328" s="127">
        <v>36268</v>
      </c>
      <c r="D328" s="124" t="s">
        <v>950</v>
      </c>
      <c r="E328" s="124" t="s">
        <v>662</v>
      </c>
      <c r="F328" s="124">
        <v>0.63624999999999998</v>
      </c>
      <c r="G328" s="125">
        <v>48401.986773295452</v>
      </c>
      <c r="H328" s="125">
        <v>76073.849545454548</v>
      </c>
      <c r="I328" s="126">
        <v>96138.327363068151</v>
      </c>
    </row>
    <row r="329" spans="1:9" x14ac:dyDescent="0.2">
      <c r="A329" s="40"/>
      <c r="B329" s="129"/>
      <c r="C329" s="127"/>
      <c r="D329" s="128" t="s">
        <v>958</v>
      </c>
      <c r="E329" s="124" t="s">
        <v>662</v>
      </c>
      <c r="F329" s="124">
        <v>0.62749999999999995</v>
      </c>
      <c r="G329" s="125">
        <v>47736.340589772699</v>
      </c>
      <c r="H329" s="125">
        <v>76073.849545454505</v>
      </c>
      <c r="I329" s="126"/>
    </row>
    <row r="330" spans="1:9" x14ac:dyDescent="0.2">
      <c r="A330" s="40">
        <v>58</v>
      </c>
      <c r="B330" s="129" t="s">
        <v>205</v>
      </c>
      <c r="C330" s="127">
        <v>36269</v>
      </c>
      <c r="D330" s="128" t="s">
        <v>962</v>
      </c>
      <c r="E330" s="124" t="s">
        <v>658</v>
      </c>
      <c r="F330" s="124">
        <v>0.875</v>
      </c>
      <c r="G330" s="125">
        <v>81925.684431818183</v>
      </c>
      <c r="H330" s="125">
        <v>93629.353636363638</v>
      </c>
      <c r="I330" s="126">
        <v>81925.684431818183</v>
      </c>
    </row>
    <row r="331" spans="1:9" x14ac:dyDescent="0.2">
      <c r="A331" s="40"/>
      <c r="B331" s="41"/>
      <c r="C331" s="47"/>
      <c r="D331" s="44"/>
      <c r="E331" s="43"/>
      <c r="F331" s="43"/>
      <c r="G331" s="48">
        <v>0</v>
      </c>
      <c r="H331" s="48">
        <v>93629.353636363638</v>
      </c>
      <c r="I331" s="50"/>
    </row>
    <row r="332" spans="1:9" x14ac:dyDescent="0.2">
      <c r="A332" s="40"/>
      <c r="B332" s="41"/>
      <c r="C332" s="47"/>
      <c r="D332" s="44"/>
      <c r="E332" s="43"/>
      <c r="F332" s="43"/>
      <c r="G332" s="48">
        <v>0</v>
      </c>
      <c r="H332" s="48">
        <v>93629.353636363638</v>
      </c>
      <c r="I332" s="50"/>
    </row>
    <row r="333" spans="1:9" x14ac:dyDescent="0.2">
      <c r="A333" s="40"/>
      <c r="B333" s="41"/>
      <c r="C333" s="47"/>
      <c r="D333" s="44"/>
      <c r="E333" s="43"/>
      <c r="F333" s="43"/>
      <c r="G333" s="48">
        <v>0</v>
      </c>
      <c r="H333" s="48">
        <v>87777.519090909089</v>
      </c>
      <c r="I333" s="50"/>
    </row>
    <row r="334" spans="1:9" x14ac:dyDescent="0.2">
      <c r="A334" s="40"/>
      <c r="B334" s="41"/>
      <c r="C334" s="47"/>
      <c r="D334" s="43"/>
      <c r="E334" s="43"/>
      <c r="F334" s="43"/>
      <c r="G334" s="48">
        <v>0</v>
      </c>
      <c r="H334" s="48">
        <v>87777.519090909089</v>
      </c>
      <c r="I334" s="50"/>
    </row>
    <row r="335" spans="1:9" x14ac:dyDescent="0.2">
      <c r="A335" s="40"/>
      <c r="B335" s="41"/>
      <c r="C335" s="47"/>
      <c r="D335" s="45"/>
      <c r="E335" s="43"/>
      <c r="F335" s="43"/>
      <c r="G335" s="48">
        <v>0</v>
      </c>
      <c r="H335" s="48">
        <v>93629.353636363638</v>
      </c>
      <c r="I335" s="50"/>
    </row>
    <row r="336" spans="1:9" x14ac:dyDescent="0.2">
      <c r="A336" s="40"/>
      <c r="B336" s="41"/>
      <c r="C336" s="47"/>
      <c r="D336" s="42"/>
      <c r="E336" s="43"/>
      <c r="F336" s="43"/>
      <c r="G336" s="48">
        <v>0</v>
      </c>
      <c r="H336" s="48">
        <v>93629.353636363638</v>
      </c>
      <c r="I336" s="50"/>
    </row>
    <row r="337" spans="1:9" x14ac:dyDescent="0.2">
      <c r="A337" s="40"/>
      <c r="B337" s="41"/>
      <c r="C337" s="47"/>
      <c r="D337" s="44"/>
      <c r="E337" s="43"/>
      <c r="F337" s="43"/>
      <c r="G337" s="48">
        <v>0</v>
      </c>
      <c r="H337" s="48">
        <v>93629.353636363638</v>
      </c>
      <c r="I337" s="50"/>
    </row>
    <row r="338" spans="1:9" x14ac:dyDescent="0.2">
      <c r="A338" s="40">
        <v>59</v>
      </c>
      <c r="B338" s="129" t="s">
        <v>663</v>
      </c>
      <c r="C338" s="127">
        <v>36274</v>
      </c>
      <c r="D338" s="128" t="s">
        <v>957</v>
      </c>
      <c r="E338" s="124" t="s">
        <v>657</v>
      </c>
      <c r="F338" s="124">
        <v>1</v>
      </c>
      <c r="G338" s="125">
        <v>67881.281363636357</v>
      </c>
      <c r="H338" s="125">
        <v>67881.281363636357</v>
      </c>
      <c r="I338" s="126">
        <v>407287.68818181817</v>
      </c>
    </row>
    <row r="339" spans="1:9" x14ac:dyDescent="0.2">
      <c r="A339" s="40"/>
      <c r="B339" s="129"/>
      <c r="C339" s="127"/>
      <c r="D339" s="124" t="s">
        <v>963</v>
      </c>
      <c r="E339" s="124" t="s">
        <v>657</v>
      </c>
      <c r="F339" s="124">
        <v>1</v>
      </c>
      <c r="G339" s="125">
        <v>67881.281363636357</v>
      </c>
      <c r="H339" s="125">
        <v>67881.281363636357</v>
      </c>
      <c r="I339" s="126"/>
    </row>
    <row r="340" spans="1:9" x14ac:dyDescent="0.2">
      <c r="A340" s="40"/>
      <c r="B340" s="129"/>
      <c r="C340" s="127"/>
      <c r="D340" s="130" t="s">
        <v>964</v>
      </c>
      <c r="E340" s="124" t="s">
        <v>657</v>
      </c>
      <c r="F340" s="124">
        <v>1</v>
      </c>
      <c r="G340" s="125">
        <v>67881.281363636357</v>
      </c>
      <c r="H340" s="125">
        <v>67881.281363636357</v>
      </c>
      <c r="I340" s="126"/>
    </row>
    <row r="341" spans="1:9" x14ac:dyDescent="0.2">
      <c r="A341" s="40"/>
      <c r="B341" s="129"/>
      <c r="C341" s="127"/>
      <c r="D341" s="130" t="s">
        <v>961</v>
      </c>
      <c r="E341" s="124" t="s">
        <v>657</v>
      </c>
      <c r="F341" s="124">
        <v>1</v>
      </c>
      <c r="G341" s="125">
        <v>67881.281363636357</v>
      </c>
      <c r="H341" s="125">
        <v>67881.281363636357</v>
      </c>
      <c r="I341" s="126"/>
    </row>
    <row r="342" spans="1:9" x14ac:dyDescent="0.2">
      <c r="A342" s="40"/>
      <c r="B342" s="129"/>
      <c r="C342" s="127"/>
      <c r="D342" s="130" t="s">
        <v>958</v>
      </c>
      <c r="E342" s="124" t="s">
        <v>657</v>
      </c>
      <c r="F342" s="124">
        <v>1</v>
      </c>
      <c r="G342" s="125">
        <v>67881.281363636357</v>
      </c>
      <c r="H342" s="125">
        <v>67881.281363636357</v>
      </c>
      <c r="I342" s="126"/>
    </row>
    <row r="343" spans="1:9" x14ac:dyDescent="0.2">
      <c r="A343" s="40"/>
      <c r="B343" s="129"/>
      <c r="C343" s="127"/>
      <c r="D343" s="130" t="s">
        <v>946</v>
      </c>
      <c r="E343" s="124" t="s">
        <v>657</v>
      </c>
      <c r="F343" s="124">
        <v>1</v>
      </c>
      <c r="G343" s="125">
        <v>67881.281363636357</v>
      </c>
      <c r="H343" s="125">
        <v>67881.281363636357</v>
      </c>
      <c r="I343" s="126"/>
    </row>
    <row r="344" spans="1:9" x14ac:dyDescent="0.2">
      <c r="A344" s="40"/>
      <c r="B344" s="41"/>
      <c r="C344" s="47"/>
      <c r="D344" s="44"/>
      <c r="E344" s="43"/>
      <c r="F344" s="43"/>
      <c r="G344" s="48">
        <v>0</v>
      </c>
      <c r="H344" s="48">
        <v>67881.281363636357</v>
      </c>
      <c r="I344" s="50"/>
    </row>
    <row r="345" spans="1:9" x14ac:dyDescent="0.2">
      <c r="A345" s="40"/>
      <c r="B345" s="41"/>
      <c r="C345" s="47"/>
      <c r="D345" s="44"/>
      <c r="E345" s="43"/>
      <c r="F345" s="43"/>
      <c r="G345" s="48">
        <v>0</v>
      </c>
      <c r="H345" s="48">
        <v>67881.281363636357</v>
      </c>
      <c r="I345" s="50"/>
    </row>
    <row r="346" spans="1:9" x14ac:dyDescent="0.2">
      <c r="A346" s="40">
        <v>60</v>
      </c>
      <c r="B346" s="129" t="s">
        <v>211</v>
      </c>
      <c r="C346" s="127">
        <v>36276</v>
      </c>
      <c r="D346" s="128" t="s">
        <v>950</v>
      </c>
      <c r="E346" s="124" t="s">
        <v>658</v>
      </c>
      <c r="F346" s="124">
        <v>1</v>
      </c>
      <c r="G346" s="125">
        <v>76073.849545454548</v>
      </c>
      <c r="H346" s="125">
        <v>76073.849545454548</v>
      </c>
      <c r="I346" s="126">
        <v>228221.54863636353</v>
      </c>
    </row>
    <row r="347" spans="1:9" x14ac:dyDescent="0.2">
      <c r="A347" s="40"/>
      <c r="B347" s="129"/>
      <c r="C347" s="127"/>
      <c r="D347" s="124" t="s">
        <v>957</v>
      </c>
      <c r="E347" s="124" t="s">
        <v>658</v>
      </c>
      <c r="F347" s="124">
        <v>1</v>
      </c>
      <c r="G347" s="125">
        <v>76073.849545454505</v>
      </c>
      <c r="H347" s="125">
        <v>76073.849545454505</v>
      </c>
      <c r="I347" s="126"/>
    </row>
    <row r="348" spans="1:9" x14ac:dyDescent="0.2">
      <c r="A348" s="40"/>
      <c r="B348" s="129"/>
      <c r="C348" s="127"/>
      <c r="D348" s="124" t="s">
        <v>939</v>
      </c>
      <c r="E348" s="124" t="s">
        <v>658</v>
      </c>
      <c r="F348" s="124">
        <v>1</v>
      </c>
      <c r="G348" s="125">
        <v>76073.849545454505</v>
      </c>
      <c r="H348" s="125">
        <v>76073.849545454505</v>
      </c>
      <c r="I348" s="126"/>
    </row>
    <row r="349" spans="1:9" x14ac:dyDescent="0.2">
      <c r="A349" s="40"/>
      <c r="B349" s="41"/>
      <c r="C349" s="47"/>
      <c r="D349" s="43"/>
      <c r="E349" s="43"/>
      <c r="F349" s="43"/>
      <c r="G349" s="48">
        <v>0</v>
      </c>
      <c r="H349" s="48">
        <v>76073.849545454548</v>
      </c>
      <c r="I349" s="50"/>
    </row>
    <row r="350" spans="1:9" x14ac:dyDescent="0.2">
      <c r="A350" s="40"/>
      <c r="B350" s="41"/>
      <c r="C350" s="47"/>
      <c r="D350" s="42"/>
      <c r="E350" s="43"/>
      <c r="F350" s="43"/>
      <c r="G350" s="48">
        <v>0</v>
      </c>
      <c r="H350" s="48">
        <v>76073.849545454548</v>
      </c>
      <c r="I350" s="50"/>
    </row>
    <row r="351" spans="1:9" x14ac:dyDescent="0.2">
      <c r="A351" s="40"/>
      <c r="B351" s="41"/>
      <c r="C351" s="47"/>
      <c r="D351" s="42"/>
      <c r="E351" s="43"/>
      <c r="F351" s="43"/>
      <c r="G351" s="48">
        <v>0</v>
      </c>
      <c r="H351" s="48">
        <v>76073.849545454548</v>
      </c>
      <c r="I351" s="50"/>
    </row>
    <row r="352" spans="1:9" x14ac:dyDescent="0.2">
      <c r="A352" s="40"/>
      <c r="B352" s="41"/>
      <c r="C352" s="47"/>
      <c r="D352" s="44"/>
      <c r="E352" s="43"/>
      <c r="F352" s="43"/>
      <c r="G352" s="48">
        <v>0</v>
      </c>
      <c r="H352" s="48">
        <v>76073.849545454505</v>
      </c>
      <c r="I352" s="50"/>
    </row>
    <row r="353" spans="1:9" x14ac:dyDescent="0.2">
      <c r="A353" s="40"/>
      <c r="B353" s="41"/>
      <c r="C353" s="47"/>
      <c r="D353" s="44"/>
      <c r="E353" s="43"/>
      <c r="F353" s="43"/>
      <c r="G353" s="48">
        <v>0</v>
      </c>
      <c r="H353" s="48">
        <v>76073.849545454505</v>
      </c>
      <c r="I353" s="50"/>
    </row>
    <row r="354" spans="1:9" x14ac:dyDescent="0.2">
      <c r="A354" s="40">
        <v>61</v>
      </c>
      <c r="B354" s="129" t="s">
        <v>213</v>
      </c>
      <c r="C354" s="127">
        <v>36277</v>
      </c>
      <c r="D354" s="128" t="s">
        <v>944</v>
      </c>
      <c r="E354" s="124" t="s">
        <v>658</v>
      </c>
      <c r="F354" s="124">
        <v>1</v>
      </c>
      <c r="G354" s="125">
        <v>76073.849545454548</v>
      </c>
      <c r="H354" s="125">
        <v>76073.849545454548</v>
      </c>
      <c r="I354" s="126">
        <v>76073.849545454548</v>
      </c>
    </row>
    <row r="355" spans="1:9" x14ac:dyDescent="0.2">
      <c r="A355" s="40"/>
      <c r="B355" s="41"/>
      <c r="C355" s="47"/>
      <c r="D355" s="44"/>
      <c r="E355" s="43"/>
      <c r="F355" s="43"/>
      <c r="G355" s="48">
        <v>0</v>
      </c>
      <c r="H355" s="48">
        <v>76073.849545454505</v>
      </c>
      <c r="I355" s="50"/>
    </row>
    <row r="356" spans="1:9" x14ac:dyDescent="0.2">
      <c r="A356" s="40"/>
      <c r="B356" s="41"/>
      <c r="C356" s="47"/>
      <c r="D356" s="45"/>
      <c r="E356" s="43"/>
      <c r="F356" s="43"/>
      <c r="G356" s="48">
        <v>0</v>
      </c>
      <c r="H356" s="48">
        <v>76073.849545454505</v>
      </c>
      <c r="I356" s="50"/>
    </row>
    <row r="357" spans="1:9" x14ac:dyDescent="0.2">
      <c r="A357" s="40"/>
      <c r="B357" s="41"/>
      <c r="C357" s="47"/>
      <c r="D357" s="44"/>
      <c r="E357" s="43"/>
      <c r="F357" s="43"/>
      <c r="G357" s="48">
        <v>0</v>
      </c>
      <c r="H357" s="48">
        <v>76073.849545454505</v>
      </c>
      <c r="I357" s="50"/>
    </row>
    <row r="358" spans="1:9" x14ac:dyDescent="0.2">
      <c r="A358" s="40"/>
      <c r="B358" s="41"/>
      <c r="C358" s="47"/>
      <c r="D358" s="44"/>
      <c r="E358" s="43"/>
      <c r="F358" s="43"/>
      <c r="G358" s="48">
        <v>0</v>
      </c>
      <c r="H358" s="48">
        <v>76073.849545454505</v>
      </c>
      <c r="I358" s="50"/>
    </row>
    <row r="359" spans="1:9" x14ac:dyDescent="0.2">
      <c r="A359" s="40"/>
      <c r="B359" s="41"/>
      <c r="C359" s="47"/>
      <c r="D359" s="44"/>
      <c r="E359" s="43"/>
      <c r="F359" s="43"/>
      <c r="G359" s="48">
        <v>0</v>
      </c>
      <c r="H359" s="48">
        <v>76073.849545454505</v>
      </c>
      <c r="I359" s="50"/>
    </row>
    <row r="360" spans="1:9" x14ac:dyDescent="0.2">
      <c r="A360" s="40"/>
      <c r="B360" s="41"/>
      <c r="C360" s="47"/>
      <c r="D360" s="44"/>
      <c r="E360" s="43"/>
      <c r="F360" s="43"/>
      <c r="G360" s="48">
        <v>0</v>
      </c>
      <c r="H360" s="48">
        <v>76073.849545454505</v>
      </c>
      <c r="I360" s="50"/>
    </row>
    <row r="361" spans="1:9" x14ac:dyDescent="0.2">
      <c r="A361" s="40"/>
      <c r="B361" s="41"/>
      <c r="C361" s="47"/>
      <c r="D361" s="44"/>
      <c r="E361" s="43"/>
      <c r="F361" s="43"/>
      <c r="G361" s="48">
        <v>0</v>
      </c>
      <c r="H361" s="48">
        <v>76073.849545454505</v>
      </c>
      <c r="I361" s="50"/>
    </row>
    <row r="362" spans="1:9" x14ac:dyDescent="0.2">
      <c r="A362" s="40">
        <v>62</v>
      </c>
      <c r="B362" s="41" t="s">
        <v>216</v>
      </c>
      <c r="C362" s="47">
        <v>36286</v>
      </c>
      <c r="D362" s="43"/>
      <c r="E362" s="43"/>
      <c r="F362" s="43"/>
      <c r="G362" s="48">
        <v>0</v>
      </c>
      <c r="H362" s="48">
        <v>99481.188181818186</v>
      </c>
      <c r="I362" s="50">
        <v>0</v>
      </c>
    </row>
    <row r="363" spans="1:9" x14ac:dyDescent="0.2">
      <c r="A363" s="40"/>
      <c r="B363" s="41"/>
      <c r="C363" s="43"/>
      <c r="D363" s="44"/>
      <c r="E363" s="43"/>
      <c r="F363" s="43"/>
      <c r="G363" s="48">
        <v>0</v>
      </c>
      <c r="H363" s="48">
        <v>99481.188181818186</v>
      </c>
      <c r="I363" s="50"/>
    </row>
    <row r="364" spans="1:9" x14ac:dyDescent="0.2">
      <c r="A364" s="40"/>
      <c r="B364" s="41"/>
      <c r="C364" s="43"/>
      <c r="D364" s="44"/>
      <c r="E364" s="43"/>
      <c r="F364" s="43"/>
      <c r="G364" s="48">
        <v>0</v>
      </c>
      <c r="H364" s="48">
        <v>99481.188181818186</v>
      </c>
      <c r="I364" s="50"/>
    </row>
    <row r="365" spans="1:9" x14ac:dyDescent="0.2">
      <c r="A365" s="40"/>
      <c r="B365" s="41"/>
      <c r="C365" s="43"/>
      <c r="E365" s="43"/>
      <c r="F365" s="44"/>
      <c r="G365" s="48">
        <v>0</v>
      </c>
      <c r="H365" s="48">
        <v>99481.188181818186</v>
      </c>
      <c r="I365" s="50"/>
    </row>
    <row r="366" spans="1:9" x14ac:dyDescent="0.2">
      <c r="A366" s="40"/>
      <c r="B366" s="41"/>
      <c r="C366" s="43"/>
      <c r="D366" s="44"/>
      <c r="E366" s="43"/>
      <c r="F366" s="43"/>
      <c r="G366" s="48">
        <v>0</v>
      </c>
      <c r="H366" s="48">
        <v>99481.188181818186</v>
      </c>
      <c r="I366" s="50"/>
    </row>
    <row r="367" spans="1:9" x14ac:dyDescent="0.2">
      <c r="A367" s="40"/>
      <c r="B367" s="41"/>
      <c r="C367" s="43"/>
      <c r="D367" s="43"/>
      <c r="E367" s="43"/>
      <c r="F367" s="43"/>
      <c r="G367" s="48">
        <v>0</v>
      </c>
      <c r="H367" s="48">
        <v>99481.188181818186</v>
      </c>
      <c r="I367" s="50"/>
    </row>
    <row r="368" spans="1:9" x14ac:dyDescent="0.2">
      <c r="A368" s="40"/>
      <c r="B368" s="41"/>
      <c r="C368" s="43"/>
      <c r="D368" s="44"/>
      <c r="E368" s="43"/>
      <c r="F368" s="43"/>
      <c r="G368" s="48">
        <v>0</v>
      </c>
      <c r="H368" s="48">
        <v>99481.188181818186</v>
      </c>
      <c r="I368" s="50"/>
    </row>
    <row r="369" spans="1:9" x14ac:dyDescent="0.2">
      <c r="A369" s="40"/>
      <c r="B369" s="41"/>
      <c r="C369" s="43"/>
      <c r="D369" s="44"/>
      <c r="E369" s="43"/>
      <c r="F369" s="43"/>
      <c r="G369" s="48">
        <v>0</v>
      </c>
      <c r="H369" s="48">
        <v>99481.188181818186</v>
      </c>
      <c r="I369" s="50"/>
    </row>
    <row r="370" spans="1:9" x14ac:dyDescent="0.2">
      <c r="A370" s="40">
        <v>63</v>
      </c>
      <c r="B370" s="129" t="s">
        <v>219</v>
      </c>
      <c r="C370" s="124">
        <v>36289</v>
      </c>
      <c r="D370" s="128" t="s">
        <v>947</v>
      </c>
      <c r="E370" s="124" t="s">
        <v>658</v>
      </c>
      <c r="F370" s="124">
        <v>0.875</v>
      </c>
      <c r="G370" s="125">
        <v>81925.684431818183</v>
      </c>
      <c r="H370" s="125">
        <v>93629.353636363638</v>
      </c>
      <c r="I370" s="126">
        <v>81925.684431818183</v>
      </c>
    </row>
    <row r="371" spans="1:9" x14ac:dyDescent="0.2">
      <c r="A371" s="40"/>
      <c r="B371" s="41"/>
      <c r="C371" s="43"/>
      <c r="D371" s="44"/>
      <c r="E371" s="43"/>
      <c r="F371" s="43"/>
      <c r="G371" s="48">
        <v>0</v>
      </c>
      <c r="H371" s="48">
        <v>93629.353636363638</v>
      </c>
      <c r="I371" s="50"/>
    </row>
    <row r="372" spans="1:9" x14ac:dyDescent="0.2">
      <c r="A372" s="40"/>
      <c r="B372" s="41"/>
      <c r="C372" s="43"/>
      <c r="D372" s="44"/>
      <c r="E372" s="43"/>
      <c r="F372" s="43"/>
      <c r="G372" s="48">
        <v>0</v>
      </c>
      <c r="H372" s="48">
        <v>93629.353636363638</v>
      </c>
      <c r="I372" s="50"/>
    </row>
    <row r="373" spans="1:9" x14ac:dyDescent="0.2">
      <c r="A373" s="40"/>
      <c r="B373" s="41"/>
      <c r="C373" s="43"/>
      <c r="D373" s="44"/>
      <c r="E373" s="43"/>
      <c r="F373" s="43"/>
      <c r="G373" s="48">
        <v>0</v>
      </c>
      <c r="H373" s="48">
        <v>93629.353636363638</v>
      </c>
      <c r="I373" s="50"/>
    </row>
    <row r="374" spans="1:9" x14ac:dyDescent="0.2">
      <c r="A374" s="40"/>
      <c r="B374" s="41"/>
      <c r="C374" s="43"/>
      <c r="D374" s="44"/>
      <c r="E374" s="43"/>
      <c r="F374" s="43"/>
      <c r="G374" s="48">
        <v>0</v>
      </c>
      <c r="H374" s="48">
        <v>87777.519090909089</v>
      </c>
      <c r="I374" s="50"/>
    </row>
    <row r="375" spans="1:9" x14ac:dyDescent="0.2">
      <c r="A375" s="40"/>
      <c r="B375" s="41"/>
      <c r="C375" s="43"/>
      <c r="D375" s="44"/>
      <c r="E375" s="43"/>
      <c r="F375" s="43"/>
      <c r="G375" s="48">
        <v>0</v>
      </c>
      <c r="H375" s="48">
        <v>87777.519090909089</v>
      </c>
      <c r="I375" s="50"/>
    </row>
    <row r="376" spans="1:9" x14ac:dyDescent="0.2">
      <c r="A376" s="40"/>
      <c r="B376" s="41"/>
      <c r="C376" s="43"/>
      <c r="D376" s="44"/>
      <c r="E376" s="43"/>
      <c r="F376" s="43"/>
      <c r="G376" s="48">
        <v>0</v>
      </c>
      <c r="H376" s="48">
        <v>93629.353636363638</v>
      </c>
      <c r="I376" s="50"/>
    </row>
    <row r="377" spans="1:9" x14ac:dyDescent="0.2">
      <c r="A377" s="40"/>
      <c r="B377" s="41"/>
      <c r="C377" s="43"/>
      <c r="D377" s="44"/>
      <c r="E377" s="43"/>
      <c r="F377" s="43"/>
      <c r="G377" s="48">
        <v>0</v>
      </c>
      <c r="H377" s="48">
        <v>93629.353636363638</v>
      </c>
      <c r="I377" s="50"/>
    </row>
    <row r="378" spans="1:9" x14ac:dyDescent="0.2">
      <c r="A378" s="40"/>
      <c r="B378" s="41"/>
      <c r="C378" s="43"/>
      <c r="D378" s="43"/>
      <c r="E378" s="43"/>
      <c r="F378" s="43"/>
      <c r="G378" s="48">
        <v>0</v>
      </c>
      <c r="H378" s="48">
        <v>93629.353636363638</v>
      </c>
      <c r="I378" s="50"/>
    </row>
    <row r="379" spans="1:9" x14ac:dyDescent="0.2">
      <c r="A379" s="40"/>
      <c r="B379" s="41"/>
      <c r="C379" s="47"/>
      <c r="D379" s="44"/>
      <c r="E379" s="43"/>
      <c r="F379" s="43"/>
      <c r="G379" s="48">
        <v>0</v>
      </c>
      <c r="H379" s="48"/>
      <c r="I379" s="50"/>
    </row>
    <row r="380" spans="1:9" x14ac:dyDescent="0.2">
      <c r="A380" s="40">
        <v>64</v>
      </c>
      <c r="B380" s="41" t="s">
        <v>221</v>
      </c>
      <c r="C380" s="47">
        <v>36290</v>
      </c>
      <c r="D380" s="44"/>
      <c r="E380" s="43"/>
      <c r="F380" s="43"/>
      <c r="G380" s="48">
        <v>0</v>
      </c>
      <c r="H380" s="48">
        <v>99481.188181818186</v>
      </c>
      <c r="I380" s="50">
        <v>0</v>
      </c>
    </row>
    <row r="381" spans="1:9" x14ac:dyDescent="0.2">
      <c r="A381" s="40"/>
      <c r="B381" s="41"/>
      <c r="C381" s="47"/>
      <c r="D381" s="44"/>
      <c r="E381" s="43"/>
      <c r="F381" s="43"/>
      <c r="G381" s="48">
        <v>0</v>
      </c>
      <c r="H381" s="48">
        <v>99481.188181818201</v>
      </c>
      <c r="I381" s="50"/>
    </row>
    <row r="382" spans="1:9" x14ac:dyDescent="0.2">
      <c r="A382" s="40"/>
      <c r="B382" s="41"/>
      <c r="C382" s="47"/>
      <c r="D382" s="44"/>
      <c r="E382" s="43"/>
      <c r="F382" s="43"/>
      <c r="G382" s="48">
        <v>0</v>
      </c>
      <c r="H382" s="48">
        <v>99481.188181818201</v>
      </c>
      <c r="I382" s="50"/>
    </row>
    <row r="383" spans="1:9" x14ac:dyDescent="0.2">
      <c r="A383" s="40">
        <v>65</v>
      </c>
      <c r="B383" s="41" t="s">
        <v>223</v>
      </c>
      <c r="C383" s="47">
        <v>36293</v>
      </c>
      <c r="D383" s="43"/>
      <c r="E383" s="43"/>
      <c r="F383" s="43"/>
      <c r="G383" s="48">
        <v>0</v>
      </c>
      <c r="H383" s="48">
        <v>99481.188181818186</v>
      </c>
      <c r="I383" s="50">
        <v>0</v>
      </c>
    </row>
    <row r="384" spans="1:9" x14ac:dyDescent="0.2">
      <c r="A384" s="40"/>
      <c r="B384" s="41"/>
      <c r="C384" s="43"/>
      <c r="D384" s="44"/>
      <c r="E384" s="43"/>
      <c r="F384" s="43"/>
      <c r="G384" s="48">
        <v>0</v>
      </c>
      <c r="H384" s="48">
        <v>99481.188181818186</v>
      </c>
      <c r="I384" s="50"/>
    </row>
    <row r="385" spans="1:9" x14ac:dyDescent="0.2">
      <c r="A385" s="40">
        <v>66</v>
      </c>
      <c r="B385" s="129" t="s">
        <v>225</v>
      </c>
      <c r="C385" s="124">
        <v>36294</v>
      </c>
      <c r="D385" s="130" t="s">
        <v>961</v>
      </c>
      <c r="E385" s="124" t="s">
        <v>907</v>
      </c>
      <c r="F385" s="124">
        <v>1.385</v>
      </c>
      <c r="G385" s="125">
        <v>137781.44563181818</v>
      </c>
      <c r="H385" s="125">
        <v>99481.188181818186</v>
      </c>
      <c r="I385" s="126">
        <v>137781.44563181818</v>
      </c>
    </row>
    <row r="386" spans="1:9" x14ac:dyDescent="0.2">
      <c r="A386" s="40"/>
      <c r="B386" s="41"/>
      <c r="C386" s="43"/>
      <c r="D386" s="45"/>
      <c r="E386" s="43"/>
      <c r="F386" s="43"/>
      <c r="G386" s="48">
        <v>0</v>
      </c>
      <c r="H386" s="48">
        <v>99481.188181818186</v>
      </c>
      <c r="I386" s="50"/>
    </row>
    <row r="387" spans="1:9" x14ac:dyDescent="0.2">
      <c r="A387" s="40"/>
      <c r="B387" s="41"/>
      <c r="C387" s="43"/>
      <c r="D387" s="42"/>
      <c r="E387" s="43"/>
      <c r="F387" s="43"/>
      <c r="G387" s="48">
        <v>0</v>
      </c>
      <c r="H387" s="48">
        <v>99481.188181818186</v>
      </c>
      <c r="I387" s="50"/>
    </row>
    <row r="388" spans="1:9" x14ac:dyDescent="0.2">
      <c r="A388" s="40"/>
      <c r="B388" s="41"/>
      <c r="C388" s="43"/>
      <c r="D388" s="43"/>
      <c r="E388" s="43"/>
      <c r="F388" s="43"/>
      <c r="G388" s="48">
        <v>0</v>
      </c>
      <c r="H388" s="48">
        <v>99481.188181818186</v>
      </c>
      <c r="I388" s="50"/>
    </row>
    <row r="389" spans="1:9" x14ac:dyDescent="0.2">
      <c r="A389" s="40"/>
      <c r="B389" s="41"/>
      <c r="C389" s="47"/>
      <c r="D389" s="44"/>
      <c r="E389" s="43"/>
      <c r="F389" s="43"/>
      <c r="G389" s="48">
        <v>0</v>
      </c>
      <c r="H389" s="48">
        <v>99481.188181818186</v>
      </c>
      <c r="I389" s="50"/>
    </row>
    <row r="390" spans="1:9" x14ac:dyDescent="0.2">
      <c r="A390" s="40"/>
      <c r="B390" s="41"/>
      <c r="C390" s="47"/>
      <c r="D390" s="44"/>
      <c r="E390" s="43"/>
      <c r="F390" s="43"/>
      <c r="G390" s="48">
        <v>0</v>
      </c>
      <c r="H390" s="48">
        <v>99481.188181818186</v>
      </c>
      <c r="I390" s="50"/>
    </row>
    <row r="391" spans="1:9" x14ac:dyDescent="0.2">
      <c r="A391" s="40"/>
      <c r="B391" s="41"/>
      <c r="C391" s="47"/>
      <c r="D391" s="45"/>
      <c r="E391" s="43"/>
      <c r="F391" s="43"/>
      <c r="G391" s="48">
        <v>0</v>
      </c>
      <c r="H391" s="48">
        <v>99481.188181818186</v>
      </c>
      <c r="I391" s="50"/>
    </row>
    <row r="392" spans="1:9" x14ac:dyDescent="0.2">
      <c r="A392" s="40"/>
      <c r="B392" s="41"/>
      <c r="C392" s="47"/>
      <c r="D392" s="45"/>
      <c r="E392" s="43"/>
      <c r="F392" s="43"/>
      <c r="G392" s="48">
        <v>0</v>
      </c>
      <c r="H392" s="48">
        <v>99481.188181818201</v>
      </c>
      <c r="I392" s="50"/>
    </row>
    <row r="393" spans="1:9" x14ac:dyDescent="0.2">
      <c r="A393" s="40">
        <v>67</v>
      </c>
      <c r="B393" s="41" t="s">
        <v>228</v>
      </c>
      <c r="C393" s="47">
        <v>36297</v>
      </c>
      <c r="D393" s="45"/>
      <c r="E393" s="43"/>
      <c r="F393" s="43"/>
      <c r="G393" s="48">
        <v>0</v>
      </c>
      <c r="H393" s="48">
        <v>76073.849545454548</v>
      </c>
      <c r="I393" s="50">
        <v>0</v>
      </c>
    </row>
    <row r="394" spans="1:9" x14ac:dyDescent="0.2">
      <c r="A394" s="40"/>
      <c r="B394" s="41"/>
      <c r="C394" s="47"/>
      <c r="D394" s="42"/>
      <c r="E394" s="43"/>
      <c r="F394" s="43"/>
      <c r="G394" s="48">
        <v>0</v>
      </c>
      <c r="H394" s="48">
        <v>76073.849545454548</v>
      </c>
      <c r="I394" s="50"/>
    </row>
    <row r="395" spans="1:9" x14ac:dyDescent="0.2">
      <c r="A395" s="40"/>
      <c r="B395" s="41"/>
      <c r="C395" s="43"/>
      <c r="D395" s="43"/>
      <c r="E395" s="43"/>
      <c r="F395" s="43"/>
      <c r="G395" s="48">
        <v>0</v>
      </c>
      <c r="H395" s="48">
        <v>76073.849545454548</v>
      </c>
      <c r="I395" s="50"/>
    </row>
    <row r="396" spans="1:9" x14ac:dyDescent="0.2">
      <c r="A396" s="40"/>
      <c r="B396" s="41"/>
      <c r="C396" s="47"/>
      <c r="D396" s="44"/>
      <c r="E396" s="43"/>
      <c r="F396" s="43"/>
      <c r="G396" s="48">
        <v>0</v>
      </c>
      <c r="H396" s="48">
        <v>76073.849545454548</v>
      </c>
      <c r="I396" s="50"/>
    </row>
    <row r="397" spans="1:9" x14ac:dyDescent="0.2">
      <c r="A397" s="40"/>
      <c r="B397" s="41"/>
      <c r="C397" s="47"/>
      <c r="D397" s="44"/>
      <c r="E397" s="43"/>
      <c r="F397" s="43"/>
      <c r="G397" s="48">
        <v>0</v>
      </c>
      <c r="H397" s="48">
        <v>76073.849545454548</v>
      </c>
      <c r="I397" s="50"/>
    </row>
    <row r="398" spans="1:9" x14ac:dyDescent="0.2">
      <c r="A398" s="40"/>
      <c r="B398" s="41"/>
      <c r="C398" s="47"/>
      <c r="D398" s="44"/>
      <c r="E398" s="43"/>
      <c r="F398" s="43"/>
      <c r="G398" s="48">
        <v>0</v>
      </c>
      <c r="H398" s="48">
        <v>76073.849545454548</v>
      </c>
      <c r="I398" s="50"/>
    </row>
    <row r="399" spans="1:9" x14ac:dyDescent="0.2">
      <c r="A399" s="40"/>
      <c r="B399" s="41"/>
      <c r="C399" s="47"/>
      <c r="D399" s="44"/>
      <c r="E399" s="43"/>
      <c r="F399" s="43"/>
      <c r="G399" s="48">
        <v>0</v>
      </c>
      <c r="H399" s="48">
        <v>76073.849545454548</v>
      </c>
      <c r="I399" s="50"/>
    </row>
    <row r="400" spans="1:9" x14ac:dyDescent="0.2">
      <c r="A400" s="40"/>
      <c r="B400" s="41"/>
      <c r="C400" s="47"/>
      <c r="D400" s="44"/>
      <c r="E400" s="43"/>
      <c r="F400" s="43"/>
      <c r="G400" s="48">
        <v>0</v>
      </c>
      <c r="H400" s="48">
        <v>76073.849545454548</v>
      </c>
      <c r="I400" s="50"/>
    </row>
    <row r="401" spans="1:9" x14ac:dyDescent="0.2">
      <c r="A401" s="40"/>
      <c r="B401" s="41"/>
      <c r="C401" s="47"/>
      <c r="D401" s="44"/>
      <c r="E401" s="43"/>
      <c r="F401" s="43"/>
      <c r="G401" s="48">
        <v>0</v>
      </c>
      <c r="H401" s="48">
        <v>76073.849545454548</v>
      </c>
      <c r="I401" s="50"/>
    </row>
    <row r="402" spans="1:9" x14ac:dyDescent="0.2">
      <c r="A402" s="40">
        <v>68</v>
      </c>
      <c r="B402" s="129" t="s">
        <v>239</v>
      </c>
      <c r="C402" s="127">
        <v>36312</v>
      </c>
      <c r="D402" s="128" t="s">
        <v>942</v>
      </c>
      <c r="E402" s="124" t="s">
        <v>658</v>
      </c>
      <c r="F402" s="124">
        <v>1</v>
      </c>
      <c r="G402" s="125">
        <v>76073.849545454548</v>
      </c>
      <c r="H402" s="125">
        <v>76073.849545454548</v>
      </c>
      <c r="I402" s="126">
        <v>152147.69909090904</v>
      </c>
    </row>
    <row r="403" spans="1:9" x14ac:dyDescent="0.2">
      <c r="A403" s="40"/>
      <c r="B403" s="129"/>
      <c r="C403" s="127"/>
      <c r="D403" s="128" t="s">
        <v>955</v>
      </c>
      <c r="E403" s="124" t="s">
        <v>658</v>
      </c>
      <c r="F403" s="124">
        <v>1</v>
      </c>
      <c r="G403" s="125">
        <v>76073.849545454505</v>
      </c>
      <c r="H403" s="125">
        <v>76073.849545454505</v>
      </c>
      <c r="I403" s="126"/>
    </row>
    <row r="404" spans="1:9" x14ac:dyDescent="0.2">
      <c r="A404" s="40"/>
      <c r="B404" s="41"/>
      <c r="C404" s="47"/>
      <c r="D404" s="44"/>
      <c r="E404" s="43"/>
      <c r="F404" s="43"/>
      <c r="G404" s="48">
        <v>0</v>
      </c>
      <c r="H404" s="48">
        <v>76073.849545454548</v>
      </c>
      <c r="I404" s="50"/>
    </row>
    <row r="405" spans="1:9" x14ac:dyDescent="0.2">
      <c r="A405" s="40"/>
      <c r="B405" s="41"/>
      <c r="C405" s="47"/>
      <c r="D405" s="43"/>
      <c r="E405" s="43"/>
      <c r="F405" s="43"/>
      <c r="G405" s="48">
        <v>0</v>
      </c>
      <c r="H405" s="48">
        <v>76073.849545454548</v>
      </c>
      <c r="I405" s="50"/>
    </row>
    <row r="406" spans="1:9" x14ac:dyDescent="0.2">
      <c r="A406" s="40"/>
      <c r="B406" s="41"/>
      <c r="C406" s="47"/>
      <c r="D406" s="44"/>
      <c r="E406" s="43"/>
      <c r="F406" s="43"/>
      <c r="G406" s="48">
        <v>0</v>
      </c>
      <c r="H406" s="48">
        <v>76073.849545454505</v>
      </c>
      <c r="I406" s="50"/>
    </row>
    <row r="407" spans="1:9" x14ac:dyDescent="0.2">
      <c r="A407" s="40"/>
      <c r="B407" s="41"/>
      <c r="C407" s="47"/>
      <c r="D407" s="43"/>
      <c r="E407" s="43"/>
      <c r="F407" s="43"/>
      <c r="G407" s="48">
        <v>0</v>
      </c>
      <c r="H407" s="48">
        <v>76073.849545454505</v>
      </c>
      <c r="I407" s="50"/>
    </row>
    <row r="408" spans="1:9" x14ac:dyDescent="0.2">
      <c r="A408" s="40"/>
      <c r="B408" s="41"/>
      <c r="C408" s="47"/>
      <c r="D408" s="43"/>
      <c r="E408" s="43"/>
      <c r="F408" s="43"/>
      <c r="G408" s="48">
        <v>0</v>
      </c>
      <c r="H408" s="48">
        <v>76073.849545454505</v>
      </c>
      <c r="I408" s="50"/>
    </row>
    <row r="409" spans="1:9" x14ac:dyDescent="0.2">
      <c r="A409" s="40">
        <v>69</v>
      </c>
      <c r="B409" s="41" t="s">
        <v>242</v>
      </c>
      <c r="C409" s="47">
        <v>36316</v>
      </c>
      <c r="D409" s="43"/>
      <c r="E409" s="43"/>
      <c r="F409" s="43"/>
      <c r="G409" s="48">
        <v>0</v>
      </c>
      <c r="H409" s="48">
        <v>99481.188181818186</v>
      </c>
      <c r="I409" s="50">
        <v>0</v>
      </c>
    </row>
    <row r="410" spans="1:9" x14ac:dyDescent="0.2">
      <c r="A410" s="40"/>
      <c r="B410" s="41"/>
      <c r="C410" s="47"/>
      <c r="D410" s="44"/>
      <c r="E410" s="43"/>
      <c r="F410" s="43"/>
      <c r="G410" s="48">
        <v>0</v>
      </c>
      <c r="H410" s="48">
        <v>99481.188181818186</v>
      </c>
      <c r="I410" s="50"/>
    </row>
    <row r="411" spans="1:9" x14ac:dyDescent="0.2">
      <c r="A411" s="40"/>
      <c r="B411" s="41"/>
      <c r="C411" s="47"/>
      <c r="D411" s="44"/>
      <c r="E411" s="43"/>
      <c r="F411" s="43"/>
      <c r="G411" s="48">
        <v>0</v>
      </c>
      <c r="H411" s="48">
        <v>99481.188181818186</v>
      </c>
      <c r="I411" s="50"/>
    </row>
    <row r="412" spans="1:9" x14ac:dyDescent="0.2">
      <c r="A412" s="40"/>
      <c r="B412" s="41"/>
      <c r="C412" s="47"/>
      <c r="D412" s="44"/>
      <c r="E412" s="43"/>
      <c r="F412" s="43"/>
      <c r="G412" s="48">
        <v>0</v>
      </c>
      <c r="H412" s="48">
        <v>99481.188181818186</v>
      </c>
      <c r="I412" s="50"/>
    </row>
    <row r="413" spans="1:9" x14ac:dyDescent="0.2">
      <c r="A413" s="40"/>
      <c r="B413" s="41"/>
      <c r="C413" s="47"/>
      <c r="D413" s="44"/>
      <c r="E413" s="43"/>
      <c r="F413" s="43"/>
      <c r="G413" s="48">
        <v>0</v>
      </c>
      <c r="H413" s="48">
        <v>99481.188181818186</v>
      </c>
      <c r="I413" s="50"/>
    </row>
    <row r="414" spans="1:9" x14ac:dyDescent="0.2">
      <c r="A414" s="40"/>
      <c r="B414" s="41"/>
      <c r="C414" s="47"/>
      <c r="D414" s="44"/>
      <c r="E414" s="43"/>
      <c r="F414" s="43"/>
      <c r="G414" s="48">
        <v>0</v>
      </c>
      <c r="H414" s="48">
        <v>99481.188181818186</v>
      </c>
      <c r="I414" s="50"/>
    </row>
    <row r="415" spans="1:9" x14ac:dyDescent="0.2">
      <c r="A415" s="40"/>
      <c r="B415" s="41"/>
      <c r="C415" s="47"/>
      <c r="D415" s="44"/>
      <c r="E415" s="43"/>
      <c r="F415" s="43"/>
      <c r="G415" s="48">
        <v>0</v>
      </c>
      <c r="H415" s="48">
        <v>99481.188181818186</v>
      </c>
      <c r="I415" s="50"/>
    </row>
    <row r="416" spans="1:9" x14ac:dyDescent="0.2">
      <c r="A416" s="40">
        <v>70</v>
      </c>
      <c r="B416" s="41" t="s">
        <v>244</v>
      </c>
      <c r="C416" s="47">
        <v>36317</v>
      </c>
      <c r="D416" s="43"/>
      <c r="E416" s="43"/>
      <c r="F416" s="43"/>
      <c r="G416" s="48">
        <v>0</v>
      </c>
      <c r="H416" s="48">
        <v>67881.281363636357</v>
      </c>
      <c r="I416" s="50">
        <v>0</v>
      </c>
    </row>
    <row r="417" spans="1:9" x14ac:dyDescent="0.2">
      <c r="A417" s="40"/>
      <c r="B417" s="41"/>
      <c r="C417" s="47"/>
      <c r="D417" s="43"/>
      <c r="E417" s="43"/>
      <c r="F417" s="43"/>
      <c r="G417" s="48">
        <v>0</v>
      </c>
      <c r="H417" s="48">
        <v>67881.281363636401</v>
      </c>
      <c r="I417" s="50"/>
    </row>
    <row r="418" spans="1:9" x14ac:dyDescent="0.2">
      <c r="A418" s="40"/>
      <c r="B418" s="41"/>
      <c r="C418" s="47"/>
      <c r="D418" s="44"/>
      <c r="E418" s="43"/>
      <c r="F418" s="43"/>
      <c r="G418" s="48">
        <v>0</v>
      </c>
      <c r="H418" s="48">
        <v>67881.281363636401</v>
      </c>
      <c r="I418" s="50"/>
    </row>
    <row r="419" spans="1:9" x14ac:dyDescent="0.2">
      <c r="A419" s="40"/>
      <c r="B419" s="41"/>
      <c r="C419" s="47"/>
      <c r="D419" s="44"/>
      <c r="E419" s="43"/>
      <c r="F419" s="43"/>
      <c r="G419" s="48">
        <v>0</v>
      </c>
      <c r="H419" s="48">
        <v>67881.281363636401</v>
      </c>
      <c r="I419" s="50"/>
    </row>
    <row r="420" spans="1:9" x14ac:dyDescent="0.2">
      <c r="A420" s="40"/>
      <c r="B420" s="41"/>
      <c r="C420" s="47"/>
      <c r="D420" s="44"/>
      <c r="E420" s="43"/>
      <c r="F420" s="43"/>
      <c r="G420" s="48">
        <v>0</v>
      </c>
      <c r="H420" s="48">
        <v>67881.281363636401</v>
      </c>
      <c r="I420" s="50"/>
    </row>
    <row r="421" spans="1:9" x14ac:dyDescent="0.2">
      <c r="A421" s="40"/>
      <c r="B421" s="41"/>
      <c r="C421" s="47"/>
      <c r="D421" s="44"/>
      <c r="E421" s="43"/>
      <c r="F421" s="43"/>
      <c r="G421" s="48">
        <v>0</v>
      </c>
      <c r="H421" s="48">
        <v>67881.281363636401</v>
      </c>
      <c r="I421" s="50"/>
    </row>
    <row r="422" spans="1:9" x14ac:dyDescent="0.2">
      <c r="A422" s="40">
        <v>71</v>
      </c>
      <c r="B422" s="41" t="s">
        <v>246</v>
      </c>
      <c r="C422" s="47">
        <v>36318</v>
      </c>
      <c r="D422" s="44"/>
      <c r="E422" s="43"/>
      <c r="F422" s="43"/>
      <c r="G422" s="48">
        <v>0</v>
      </c>
      <c r="H422" s="48">
        <v>67881.281363636357</v>
      </c>
      <c r="I422" s="50">
        <v>0</v>
      </c>
    </row>
    <row r="423" spans="1:9" x14ac:dyDescent="0.2">
      <c r="A423" s="40"/>
      <c r="B423" s="41"/>
      <c r="C423" s="47"/>
      <c r="D423" s="44"/>
      <c r="E423" s="43"/>
      <c r="F423" s="43"/>
      <c r="G423" s="48">
        <v>0</v>
      </c>
      <c r="H423" s="48">
        <v>67881.281363636401</v>
      </c>
      <c r="I423" s="50"/>
    </row>
    <row r="424" spans="1:9" x14ac:dyDescent="0.2">
      <c r="A424" s="40"/>
      <c r="B424" s="41"/>
      <c r="C424" s="47"/>
      <c r="D424" s="44"/>
      <c r="E424" s="43"/>
      <c r="F424" s="43"/>
      <c r="G424" s="48">
        <v>0</v>
      </c>
      <c r="H424" s="48">
        <v>67881.281363636401</v>
      </c>
      <c r="I424" s="50"/>
    </row>
    <row r="425" spans="1:9" x14ac:dyDescent="0.2">
      <c r="A425" s="40"/>
      <c r="B425" s="41"/>
      <c r="C425" s="47"/>
      <c r="D425" s="44"/>
      <c r="E425" s="43"/>
      <c r="F425" s="43"/>
      <c r="G425" s="48">
        <v>0</v>
      </c>
      <c r="H425" s="48">
        <v>67881.281363636401</v>
      </c>
      <c r="I425" s="50"/>
    </row>
    <row r="426" spans="1:9" x14ac:dyDescent="0.2">
      <c r="A426" s="40"/>
      <c r="B426" s="41"/>
      <c r="C426" s="47"/>
      <c r="D426" s="44"/>
      <c r="E426" s="43"/>
      <c r="F426" s="43"/>
      <c r="G426" s="48">
        <v>0</v>
      </c>
      <c r="H426" s="48">
        <v>67881.281363636401</v>
      </c>
      <c r="I426" s="50"/>
    </row>
    <row r="427" spans="1:9" x14ac:dyDescent="0.2">
      <c r="A427" s="40"/>
      <c r="B427" s="41"/>
      <c r="C427" s="47"/>
      <c r="D427" s="44"/>
      <c r="E427" s="43"/>
      <c r="F427" s="43"/>
      <c r="G427" s="48">
        <v>0</v>
      </c>
      <c r="H427" s="48">
        <v>67881.281363636401</v>
      </c>
      <c r="I427" s="50"/>
    </row>
    <row r="428" spans="1:9" x14ac:dyDescent="0.2">
      <c r="A428" s="40">
        <v>72</v>
      </c>
      <c r="B428" s="41" t="s">
        <v>248</v>
      </c>
      <c r="C428" s="47">
        <v>36319</v>
      </c>
      <c r="D428" s="44"/>
      <c r="E428" s="43"/>
      <c r="F428" s="43"/>
      <c r="G428" s="48">
        <v>0</v>
      </c>
      <c r="H428" s="48">
        <v>76073.849545454548</v>
      </c>
      <c r="I428" s="50">
        <v>0</v>
      </c>
    </row>
    <row r="429" spans="1:9" x14ac:dyDescent="0.2">
      <c r="A429" s="40"/>
      <c r="B429" s="41"/>
      <c r="C429" s="47"/>
      <c r="D429" s="44"/>
      <c r="E429" s="43"/>
      <c r="F429" s="43"/>
      <c r="G429" s="48">
        <v>0</v>
      </c>
      <c r="H429" s="48">
        <v>76073.849545454505</v>
      </c>
      <c r="I429" s="50"/>
    </row>
    <row r="430" spans="1:9" x14ac:dyDescent="0.2">
      <c r="A430" s="40"/>
      <c r="B430" s="41"/>
      <c r="C430" s="47"/>
      <c r="D430" s="44"/>
      <c r="E430" s="43"/>
      <c r="F430" s="43"/>
      <c r="G430" s="48">
        <v>0</v>
      </c>
      <c r="H430" s="48">
        <v>76073.849545454505</v>
      </c>
      <c r="I430" s="50"/>
    </row>
    <row r="431" spans="1:9" x14ac:dyDescent="0.2">
      <c r="A431" s="40"/>
      <c r="B431" s="41"/>
      <c r="C431" s="47"/>
      <c r="D431" s="43"/>
      <c r="E431" s="43"/>
      <c r="F431" s="43"/>
      <c r="G431" s="48">
        <v>0</v>
      </c>
      <c r="H431" s="48">
        <v>76073.849545454505</v>
      </c>
      <c r="I431" s="50"/>
    </row>
    <row r="432" spans="1:9" x14ac:dyDescent="0.2">
      <c r="A432" s="40"/>
      <c r="B432" s="41"/>
      <c r="C432" s="47"/>
      <c r="D432" s="43"/>
      <c r="E432" s="43"/>
      <c r="F432" s="43"/>
      <c r="G432" s="48">
        <v>0</v>
      </c>
      <c r="H432" s="48">
        <v>76073.849545454548</v>
      </c>
      <c r="I432" s="50"/>
    </row>
    <row r="433" spans="1:9" x14ac:dyDescent="0.2">
      <c r="A433" s="40">
        <v>73</v>
      </c>
      <c r="B433" s="129" t="s">
        <v>250</v>
      </c>
      <c r="C433" s="127">
        <v>36320</v>
      </c>
      <c r="D433" s="130" t="s">
        <v>938</v>
      </c>
      <c r="E433" s="124" t="s">
        <v>657</v>
      </c>
      <c r="F433" s="124">
        <v>1.0375000000000001</v>
      </c>
      <c r="G433" s="125">
        <v>103211.73273863638</v>
      </c>
      <c r="H433" s="125">
        <v>99481.188181818186</v>
      </c>
      <c r="I433" s="126">
        <v>103211.73273863638</v>
      </c>
    </row>
    <row r="434" spans="1:9" x14ac:dyDescent="0.2">
      <c r="A434" s="40"/>
      <c r="B434" s="41"/>
      <c r="C434" s="47"/>
      <c r="D434" s="45"/>
      <c r="E434" s="43"/>
      <c r="F434" s="43"/>
      <c r="G434" s="48">
        <v>0</v>
      </c>
      <c r="H434" s="48">
        <v>99481.188181818186</v>
      </c>
      <c r="I434" s="50"/>
    </row>
    <row r="435" spans="1:9" x14ac:dyDescent="0.2">
      <c r="A435" s="40">
        <v>74</v>
      </c>
      <c r="B435" s="129" t="s">
        <v>311</v>
      </c>
      <c r="C435" s="127">
        <v>36321</v>
      </c>
      <c r="D435" s="130" t="s">
        <v>939</v>
      </c>
      <c r="E435" s="124" t="s">
        <v>657</v>
      </c>
      <c r="F435" s="124">
        <v>1</v>
      </c>
      <c r="G435" s="125">
        <v>99481.188181818186</v>
      </c>
      <c r="H435" s="125">
        <v>99481.188181818186</v>
      </c>
      <c r="I435" s="126">
        <v>99481.188181818186</v>
      </c>
    </row>
    <row r="436" spans="1:9" x14ac:dyDescent="0.2">
      <c r="A436" s="40"/>
      <c r="B436" s="41"/>
      <c r="C436" s="47"/>
      <c r="D436" s="45"/>
      <c r="E436" s="43"/>
      <c r="F436" s="43"/>
      <c r="G436" s="48">
        <v>0</v>
      </c>
      <c r="H436" s="48">
        <v>99481.188181818186</v>
      </c>
      <c r="I436" s="50"/>
    </row>
    <row r="437" spans="1:9" x14ac:dyDescent="0.2">
      <c r="A437" s="40"/>
      <c r="B437" s="41"/>
      <c r="C437" s="47"/>
      <c r="D437" s="45"/>
      <c r="E437" s="43"/>
      <c r="F437" s="43"/>
      <c r="G437" s="48">
        <v>0</v>
      </c>
      <c r="H437" s="48">
        <v>99481.188181818186</v>
      </c>
      <c r="I437" s="50"/>
    </row>
    <row r="438" spans="1:9" x14ac:dyDescent="0.2">
      <c r="A438" s="40">
        <v>75</v>
      </c>
      <c r="B438" s="129" t="s">
        <v>252</v>
      </c>
      <c r="C438" s="127">
        <v>36322</v>
      </c>
      <c r="D438" s="134" t="s">
        <v>950</v>
      </c>
      <c r="E438" s="124" t="s">
        <v>662</v>
      </c>
      <c r="F438" s="124">
        <v>0.67499999999999982</v>
      </c>
      <c r="G438" s="125">
        <v>55299.836761363629</v>
      </c>
      <c r="H438" s="125">
        <v>81925.684090909097</v>
      </c>
      <c r="I438" s="126">
        <v>234205.04939488633</v>
      </c>
    </row>
    <row r="439" spans="1:9" x14ac:dyDescent="0.2">
      <c r="A439" s="40"/>
      <c r="B439" s="123"/>
      <c r="C439" s="124"/>
      <c r="D439" s="130" t="s">
        <v>957</v>
      </c>
      <c r="E439" s="124" t="s">
        <v>662</v>
      </c>
      <c r="F439" s="124">
        <v>0.38249999999999984</v>
      </c>
      <c r="G439" s="125">
        <v>31336.574164772715</v>
      </c>
      <c r="H439" s="125">
        <v>81925.684090909097</v>
      </c>
      <c r="I439" s="126"/>
    </row>
    <row r="440" spans="1:9" x14ac:dyDescent="0.2">
      <c r="A440" s="40"/>
      <c r="B440" s="123"/>
      <c r="C440" s="124"/>
      <c r="D440" s="130" t="s">
        <v>952</v>
      </c>
      <c r="E440" s="124" t="s">
        <v>662</v>
      </c>
      <c r="F440" s="124">
        <v>0.41500000000000004</v>
      </c>
      <c r="G440" s="125">
        <v>33999.158897727277</v>
      </c>
      <c r="H440" s="125">
        <v>81925.684090909097</v>
      </c>
      <c r="I440" s="126"/>
    </row>
    <row r="441" spans="1:9" x14ac:dyDescent="0.2">
      <c r="A441" s="40"/>
      <c r="B441" s="123"/>
      <c r="C441" s="124"/>
      <c r="D441" s="130" t="s">
        <v>965</v>
      </c>
      <c r="E441" s="124" t="s">
        <v>662</v>
      </c>
      <c r="F441" s="124">
        <v>0.38125000000000009</v>
      </c>
      <c r="G441" s="125">
        <v>31234.167059659099</v>
      </c>
      <c r="H441" s="125">
        <v>81925.684090909097</v>
      </c>
      <c r="I441" s="126"/>
    </row>
    <row r="442" spans="1:9" x14ac:dyDescent="0.2">
      <c r="A442" s="40"/>
      <c r="B442" s="123"/>
      <c r="C442" s="124"/>
      <c r="D442" s="134" t="s">
        <v>945</v>
      </c>
      <c r="E442" s="124" t="s">
        <v>662</v>
      </c>
      <c r="F442" s="124">
        <v>0.44749999999999979</v>
      </c>
      <c r="G442" s="125">
        <v>36661.743630681805</v>
      </c>
      <c r="H442" s="125">
        <v>81925.684090909097</v>
      </c>
      <c r="I442" s="126"/>
    </row>
    <row r="443" spans="1:9" ht="16" x14ac:dyDescent="0.2">
      <c r="A443" s="40"/>
      <c r="B443" s="129"/>
      <c r="C443" s="136"/>
      <c r="D443" s="141" t="s">
        <v>946</v>
      </c>
      <c r="E443" s="136" t="s">
        <v>662</v>
      </c>
      <c r="F443" s="124">
        <v>0.55750000000000011</v>
      </c>
      <c r="G443" s="125">
        <v>45673.568880681829</v>
      </c>
      <c r="H443" s="125">
        <v>81925.684090909097</v>
      </c>
      <c r="I443" s="126"/>
    </row>
    <row r="444" spans="1:9" x14ac:dyDescent="0.2">
      <c r="A444" s="40"/>
      <c r="B444" s="41"/>
      <c r="C444" s="40"/>
      <c r="D444" s="52"/>
      <c r="E444" s="40"/>
      <c r="F444" s="43"/>
      <c r="G444" s="48">
        <v>0</v>
      </c>
      <c r="H444" s="48">
        <v>81925.684090909097</v>
      </c>
      <c r="I444" s="50"/>
    </row>
    <row r="445" spans="1:9" x14ac:dyDescent="0.2">
      <c r="A445" s="40">
        <v>76</v>
      </c>
      <c r="B445" s="41" t="s">
        <v>312</v>
      </c>
      <c r="C445" s="40">
        <v>36328</v>
      </c>
      <c r="D445" s="52"/>
      <c r="E445" s="40"/>
      <c r="F445" s="43"/>
      <c r="G445" s="48">
        <v>0</v>
      </c>
      <c r="H445" s="48">
        <v>136363.63636363635</v>
      </c>
      <c r="I445" s="50">
        <v>0</v>
      </c>
    </row>
    <row r="446" spans="1:9" x14ac:dyDescent="0.2">
      <c r="A446" s="40"/>
      <c r="B446" s="41"/>
      <c r="C446" s="40"/>
      <c r="D446" s="52"/>
      <c r="E446" s="40"/>
      <c r="F446" s="43"/>
      <c r="G446" s="48">
        <v>0</v>
      </c>
      <c r="H446" s="48">
        <v>136363.63636363635</v>
      </c>
      <c r="I446" s="50"/>
    </row>
    <row r="447" spans="1:9" x14ac:dyDescent="0.2">
      <c r="A447" s="40"/>
      <c r="B447" s="41"/>
      <c r="C447" s="40"/>
      <c r="D447" s="52"/>
      <c r="E447" s="40"/>
      <c r="F447" s="43"/>
      <c r="G447" s="48">
        <v>0</v>
      </c>
      <c r="H447" s="48">
        <v>136363.63636363635</v>
      </c>
      <c r="I447" s="50"/>
    </row>
    <row r="448" spans="1:9" x14ac:dyDescent="0.2">
      <c r="A448" s="40"/>
      <c r="B448" s="41"/>
      <c r="C448" s="40"/>
      <c r="D448" s="52"/>
      <c r="E448" s="40"/>
      <c r="F448" s="43"/>
      <c r="G448" s="48">
        <v>0</v>
      </c>
      <c r="H448" s="48">
        <v>136363.63636363635</v>
      </c>
      <c r="I448" s="50"/>
    </row>
    <row r="449" spans="1:9" x14ac:dyDescent="0.2">
      <c r="A449" s="40"/>
      <c r="B449" s="41"/>
      <c r="C449" s="40"/>
      <c r="D449" s="40"/>
      <c r="E449" s="40"/>
      <c r="F449" s="43"/>
      <c r="G449" s="48">
        <v>0</v>
      </c>
      <c r="H449" s="48">
        <v>136363.63636363635</v>
      </c>
      <c r="I449" s="50"/>
    </row>
    <row r="450" spans="1:9" x14ac:dyDescent="0.2">
      <c r="A450" s="40"/>
      <c r="B450" s="41"/>
      <c r="C450" s="40"/>
      <c r="D450" s="40"/>
      <c r="E450" s="40"/>
      <c r="F450" s="43"/>
      <c r="G450" s="48">
        <v>0</v>
      </c>
      <c r="H450" s="48">
        <v>136363.63636363635</v>
      </c>
      <c r="I450" s="50"/>
    </row>
    <row r="451" spans="1:9" x14ac:dyDescent="0.2">
      <c r="A451" s="40"/>
      <c r="B451" s="41"/>
      <c r="C451" s="40"/>
      <c r="D451" s="40"/>
      <c r="E451" s="40"/>
      <c r="F451" s="43"/>
      <c r="G451" s="48">
        <v>0</v>
      </c>
      <c r="H451" s="48">
        <v>136363.63636363635</v>
      </c>
      <c r="I451" s="50"/>
    </row>
    <row r="452" spans="1:9" x14ac:dyDescent="0.2">
      <c r="A452" s="40"/>
      <c r="B452" s="41"/>
      <c r="C452" s="40"/>
      <c r="D452" s="139"/>
      <c r="E452" s="40"/>
      <c r="F452" s="43"/>
      <c r="G452" s="48">
        <v>0</v>
      </c>
      <c r="H452" s="48">
        <v>136363.63636363635</v>
      </c>
      <c r="I452" s="50"/>
    </row>
    <row r="453" spans="1:9" x14ac:dyDescent="0.2">
      <c r="A453" s="40"/>
      <c r="B453" s="41"/>
      <c r="C453" s="40"/>
      <c r="D453" s="52"/>
      <c r="E453" s="40"/>
      <c r="F453" s="43"/>
      <c r="G453" s="48">
        <v>0</v>
      </c>
      <c r="H453" s="48">
        <v>136363.63636363635</v>
      </c>
      <c r="I453" s="50"/>
    </row>
    <row r="454" spans="1:9" ht="16" x14ac:dyDescent="0.2">
      <c r="A454" s="40">
        <v>77</v>
      </c>
      <c r="B454" s="129" t="s">
        <v>254</v>
      </c>
      <c r="C454" s="136">
        <v>36330</v>
      </c>
      <c r="D454" s="141" t="s">
        <v>966</v>
      </c>
      <c r="E454" s="136" t="s">
        <v>658</v>
      </c>
      <c r="F454" s="124">
        <v>0.875</v>
      </c>
      <c r="G454" s="125">
        <v>66564.618352272722</v>
      </c>
      <c r="H454" s="125">
        <v>76073.849545454548</v>
      </c>
      <c r="I454" s="126">
        <v>142638.46789772721</v>
      </c>
    </row>
    <row r="455" spans="1:9" ht="16" x14ac:dyDescent="0.2">
      <c r="A455" s="40"/>
      <c r="B455" s="129"/>
      <c r="C455" s="136"/>
      <c r="D455" s="141" t="s">
        <v>948</v>
      </c>
      <c r="E455" s="136" t="s">
        <v>658</v>
      </c>
      <c r="F455" s="124">
        <v>1</v>
      </c>
      <c r="G455" s="125">
        <v>76073.849545454505</v>
      </c>
      <c r="H455" s="125">
        <v>76073.849545454505</v>
      </c>
      <c r="I455" s="126"/>
    </row>
    <row r="456" spans="1:9" x14ac:dyDescent="0.2">
      <c r="A456" s="40"/>
      <c r="B456" s="41"/>
      <c r="C456" s="40"/>
      <c r="D456" s="52"/>
      <c r="E456" s="40"/>
      <c r="F456" s="43"/>
      <c r="G456" s="48">
        <v>0</v>
      </c>
      <c r="H456" s="48">
        <v>76073.849545454505</v>
      </c>
      <c r="I456" s="50"/>
    </row>
    <row r="457" spans="1:9" x14ac:dyDescent="0.2">
      <c r="A457" s="40"/>
      <c r="B457" s="41"/>
      <c r="C457" s="40"/>
      <c r="D457" s="52"/>
      <c r="E457" s="40"/>
      <c r="F457" s="43"/>
      <c r="G457" s="48">
        <v>0</v>
      </c>
      <c r="H457" s="48">
        <v>76073.849545454505</v>
      </c>
      <c r="I457" s="50"/>
    </row>
    <row r="458" spans="1:9" x14ac:dyDescent="0.2">
      <c r="A458" s="40"/>
      <c r="B458" s="41"/>
      <c r="C458" s="40"/>
      <c r="D458" s="40"/>
      <c r="E458" s="40"/>
      <c r="F458" s="43"/>
      <c r="G458" s="48">
        <v>0</v>
      </c>
      <c r="H458" s="48">
        <v>76073.849545454505</v>
      </c>
      <c r="I458" s="50"/>
    </row>
    <row r="459" spans="1:9" x14ac:dyDescent="0.2">
      <c r="A459" s="40"/>
      <c r="B459" s="41"/>
      <c r="C459" s="40"/>
      <c r="D459" s="40"/>
      <c r="E459" s="40"/>
      <c r="F459" s="43"/>
      <c r="G459" s="48">
        <v>0</v>
      </c>
      <c r="H459" s="48">
        <v>76073.849545454505</v>
      </c>
      <c r="I459" s="50"/>
    </row>
    <row r="460" spans="1:9" x14ac:dyDescent="0.2">
      <c r="A460" s="40"/>
      <c r="B460" s="46"/>
      <c r="C460" s="43"/>
      <c r="D460" s="44"/>
      <c r="E460" s="43"/>
      <c r="F460" s="43"/>
      <c r="G460" s="48">
        <v>0</v>
      </c>
      <c r="H460" s="48">
        <v>76073.849545454505</v>
      </c>
      <c r="I460" s="50"/>
    </row>
    <row r="461" spans="1:9" x14ac:dyDescent="0.2">
      <c r="A461" s="40">
        <v>78</v>
      </c>
      <c r="B461" s="46" t="s">
        <v>256</v>
      </c>
      <c r="C461" s="43">
        <v>36331</v>
      </c>
      <c r="D461" s="44"/>
      <c r="E461" s="43"/>
      <c r="F461" s="43"/>
      <c r="G461" s="48">
        <v>0</v>
      </c>
      <c r="H461" s="48">
        <v>99481.188181818186</v>
      </c>
      <c r="I461" s="50">
        <v>0</v>
      </c>
    </row>
    <row r="462" spans="1:9" x14ac:dyDescent="0.2">
      <c r="A462" s="40"/>
      <c r="B462" s="46"/>
      <c r="C462" s="43"/>
      <c r="D462" s="44"/>
      <c r="E462" s="43"/>
      <c r="F462" s="43"/>
      <c r="G462" s="48">
        <v>0</v>
      </c>
      <c r="H462" s="48">
        <v>99481.188181818201</v>
      </c>
      <c r="I462" s="50"/>
    </row>
    <row r="463" spans="1:9" x14ac:dyDescent="0.2">
      <c r="A463" s="40"/>
      <c r="B463" s="46"/>
      <c r="C463" s="43"/>
      <c r="D463" s="44"/>
      <c r="E463" s="43"/>
      <c r="F463" s="43"/>
      <c r="G463" s="48">
        <v>0</v>
      </c>
      <c r="H463" s="48">
        <v>99481.188181818201</v>
      </c>
      <c r="I463" s="50"/>
    </row>
    <row r="464" spans="1:9" x14ac:dyDescent="0.2">
      <c r="A464" s="40"/>
      <c r="B464" s="46"/>
      <c r="C464" s="43"/>
      <c r="D464" s="43"/>
      <c r="E464" s="43"/>
      <c r="F464" s="43"/>
      <c r="G464" s="48">
        <v>0</v>
      </c>
      <c r="H464" s="48">
        <v>99481.188181818186</v>
      </c>
      <c r="I464" s="50"/>
    </row>
    <row r="465" spans="1:9" x14ac:dyDescent="0.2">
      <c r="A465" s="40"/>
      <c r="B465" s="41"/>
      <c r="C465" s="40"/>
      <c r="D465" s="52"/>
      <c r="E465" s="40"/>
      <c r="F465" s="43"/>
      <c r="G465" s="48">
        <v>0</v>
      </c>
      <c r="H465" s="48">
        <v>99481.188181818186</v>
      </c>
      <c r="I465" s="50"/>
    </row>
    <row r="466" spans="1:9" x14ac:dyDescent="0.2">
      <c r="A466" s="40"/>
      <c r="B466" s="41"/>
      <c r="C466" s="40"/>
      <c r="D466" s="52"/>
      <c r="E466" s="40"/>
      <c r="F466" s="43"/>
      <c r="G466" s="48">
        <v>0</v>
      </c>
      <c r="H466" s="48">
        <v>99481.188181818186</v>
      </c>
      <c r="I466" s="50"/>
    </row>
    <row r="467" spans="1:9" x14ac:dyDescent="0.2">
      <c r="A467" s="40"/>
      <c r="B467" s="41"/>
      <c r="C467" s="40"/>
      <c r="D467" s="52"/>
      <c r="E467" s="40"/>
      <c r="F467" s="43"/>
      <c r="G467" s="48">
        <v>0</v>
      </c>
      <c r="H467" s="48">
        <v>99481.188181818201</v>
      </c>
      <c r="I467" s="50"/>
    </row>
    <row r="468" spans="1:9" ht="16" x14ac:dyDescent="0.2">
      <c r="A468" s="40">
        <v>79</v>
      </c>
      <c r="B468" s="129" t="s">
        <v>258</v>
      </c>
      <c r="C468" s="136">
        <v>36332</v>
      </c>
      <c r="D468" s="141" t="s">
        <v>963</v>
      </c>
      <c r="E468" s="136" t="s">
        <v>662</v>
      </c>
      <c r="F468" s="124">
        <v>0.64000000000000012</v>
      </c>
      <c r="G468" s="125">
        <v>48687.263709090919</v>
      </c>
      <c r="H468" s="125">
        <v>76073.849545454548</v>
      </c>
      <c r="I468" s="126">
        <v>432765.11160170438</v>
      </c>
    </row>
    <row r="469" spans="1:9" ht="16" x14ac:dyDescent="0.2">
      <c r="A469" s="40"/>
      <c r="B469" s="129"/>
      <c r="C469" s="136"/>
      <c r="D469" s="141" t="s">
        <v>962</v>
      </c>
      <c r="E469" s="136" t="s">
        <v>662</v>
      </c>
      <c r="F469" s="124">
        <v>0.63375000000000004</v>
      </c>
      <c r="G469" s="125">
        <v>48211.802149431795</v>
      </c>
      <c r="H469" s="125">
        <v>76073.849545454505</v>
      </c>
      <c r="I469" s="126"/>
    </row>
    <row r="470" spans="1:9" ht="16" x14ac:dyDescent="0.2">
      <c r="A470" s="40"/>
      <c r="B470" s="129"/>
      <c r="C470" s="136"/>
      <c r="D470" s="141" t="s">
        <v>965</v>
      </c>
      <c r="E470" s="136" t="s">
        <v>662</v>
      </c>
      <c r="F470" s="124">
        <v>0.625</v>
      </c>
      <c r="G470" s="125">
        <v>47546.155965909064</v>
      </c>
      <c r="H470" s="125">
        <v>76073.849545454505</v>
      </c>
      <c r="I470" s="126"/>
    </row>
    <row r="471" spans="1:9" ht="16" x14ac:dyDescent="0.2">
      <c r="A471" s="40"/>
      <c r="B471" s="129"/>
      <c r="C471" s="136"/>
      <c r="D471" s="141" t="s">
        <v>956</v>
      </c>
      <c r="E471" s="136" t="s">
        <v>662</v>
      </c>
      <c r="F471" s="124">
        <v>0.76250000000000018</v>
      </c>
      <c r="G471" s="125">
        <v>58006.310278409073</v>
      </c>
      <c r="H471" s="125">
        <v>76073.849545454505</v>
      </c>
      <c r="I471" s="126"/>
    </row>
    <row r="472" spans="1:9" ht="16" x14ac:dyDescent="0.2">
      <c r="A472" s="40"/>
      <c r="B472" s="129"/>
      <c r="C472" s="136"/>
      <c r="D472" s="136" t="s">
        <v>958</v>
      </c>
      <c r="E472" s="136" t="s">
        <v>662</v>
      </c>
      <c r="F472" s="124">
        <v>0.63499999999999979</v>
      </c>
      <c r="G472" s="125">
        <v>48306.894461363598</v>
      </c>
      <c r="H472" s="125">
        <v>76073.849545454505</v>
      </c>
      <c r="I472" s="126"/>
    </row>
    <row r="473" spans="1:9" x14ac:dyDescent="0.2">
      <c r="A473" s="40"/>
      <c r="B473" s="123"/>
      <c r="C473" s="124"/>
      <c r="D473" s="128" t="s">
        <v>941</v>
      </c>
      <c r="E473" s="124" t="s">
        <v>657</v>
      </c>
      <c r="F473" s="124">
        <v>1.63625</v>
      </c>
      <c r="G473" s="125">
        <v>124475.83631874993</v>
      </c>
      <c r="H473" s="125">
        <v>76073.849545454505</v>
      </c>
      <c r="I473" s="126"/>
    </row>
    <row r="474" spans="1:9" x14ac:dyDescent="0.2">
      <c r="A474" s="40"/>
      <c r="B474" s="123"/>
      <c r="C474" s="124"/>
      <c r="D474" s="128" t="s">
        <v>946</v>
      </c>
      <c r="E474" s="124" t="s">
        <v>662</v>
      </c>
      <c r="F474" s="124">
        <v>0.75625000000000009</v>
      </c>
      <c r="G474" s="125">
        <v>57530.848718750007</v>
      </c>
      <c r="H474" s="125">
        <v>76073.849545454548</v>
      </c>
      <c r="I474" s="126"/>
    </row>
    <row r="475" spans="1:9" x14ac:dyDescent="0.2">
      <c r="A475" s="40">
        <v>81</v>
      </c>
      <c r="B475" s="123" t="s">
        <v>263</v>
      </c>
      <c r="C475" s="124">
        <v>36335</v>
      </c>
      <c r="D475" s="128" t="s">
        <v>939</v>
      </c>
      <c r="E475" s="124" t="s">
        <v>959</v>
      </c>
      <c r="F475" s="124">
        <v>1</v>
      </c>
      <c r="G475" s="125">
        <v>99481.188181818186</v>
      </c>
      <c r="H475" s="125">
        <v>99481.188181818186</v>
      </c>
      <c r="I475" s="126">
        <v>149221.78227272729</v>
      </c>
    </row>
    <row r="476" spans="1:9" x14ac:dyDescent="0.2">
      <c r="A476" s="40"/>
      <c r="B476" s="123"/>
      <c r="C476" s="124"/>
      <c r="D476" s="124" t="s">
        <v>941</v>
      </c>
      <c r="E476" s="124" t="s">
        <v>658</v>
      </c>
      <c r="F476" s="124">
        <v>0.5</v>
      </c>
      <c r="G476" s="125">
        <v>49740.594090909093</v>
      </c>
      <c r="H476" s="125">
        <v>99481.188181818186</v>
      </c>
      <c r="I476" s="126"/>
    </row>
    <row r="477" spans="1:9" x14ac:dyDescent="0.2">
      <c r="A477" s="40">
        <v>82</v>
      </c>
      <c r="B477" s="123" t="s">
        <v>313</v>
      </c>
      <c r="C477" s="124">
        <v>36337</v>
      </c>
      <c r="D477" s="124" t="s">
        <v>938</v>
      </c>
      <c r="E477" s="124" t="s">
        <v>658</v>
      </c>
      <c r="F477" s="124">
        <v>0.875</v>
      </c>
      <c r="G477" s="125">
        <v>87046.039659090908</v>
      </c>
      <c r="H477" s="125">
        <v>99481.188181818186</v>
      </c>
      <c r="I477" s="126">
        <v>186527.22784090909</v>
      </c>
    </row>
    <row r="478" spans="1:9" x14ac:dyDescent="0.2">
      <c r="A478" s="40"/>
      <c r="B478" s="123"/>
      <c r="C478" s="124"/>
      <c r="D478" s="124" t="s">
        <v>963</v>
      </c>
      <c r="E478" s="124" t="s">
        <v>659</v>
      </c>
      <c r="F478" s="124">
        <v>1</v>
      </c>
      <c r="G478" s="125">
        <v>99481.188181818201</v>
      </c>
      <c r="H478" s="125">
        <v>99481.188181818201</v>
      </c>
      <c r="I478" s="126"/>
    </row>
    <row r="479" spans="1:9" x14ac:dyDescent="0.2">
      <c r="A479" s="40"/>
      <c r="B479" s="46"/>
      <c r="C479" s="43"/>
      <c r="D479" s="43"/>
      <c r="E479" s="43"/>
      <c r="F479" s="43"/>
      <c r="G479" s="48">
        <v>0</v>
      </c>
      <c r="H479" s="48">
        <v>99481.188181818201</v>
      </c>
      <c r="I479" s="50"/>
    </row>
    <row r="480" spans="1:9" x14ac:dyDescent="0.2">
      <c r="A480" s="40"/>
      <c r="B480" s="46"/>
      <c r="C480" s="43"/>
      <c r="D480" s="43"/>
      <c r="E480" s="43"/>
      <c r="F480" s="43"/>
      <c r="G480" s="48">
        <v>0</v>
      </c>
      <c r="H480" s="48">
        <v>99481.188181818201</v>
      </c>
      <c r="I480" s="50"/>
    </row>
    <row r="481" spans="1:9" x14ac:dyDescent="0.2">
      <c r="A481" s="40"/>
      <c r="B481" s="46"/>
      <c r="C481" s="43"/>
      <c r="D481" s="43"/>
      <c r="E481" s="43"/>
      <c r="F481" s="43"/>
      <c r="G481" s="48">
        <v>0</v>
      </c>
      <c r="H481" s="48">
        <v>99481.188181818201</v>
      </c>
      <c r="I481" s="50"/>
    </row>
    <row r="482" spans="1:9" x14ac:dyDescent="0.2">
      <c r="A482" s="40"/>
      <c r="B482" s="46"/>
      <c r="C482" s="43"/>
      <c r="D482" s="43"/>
      <c r="E482" s="43"/>
      <c r="F482" s="43"/>
      <c r="G482" s="48">
        <v>0</v>
      </c>
      <c r="H482" s="48">
        <v>99481.188181818201</v>
      </c>
      <c r="I482" s="50"/>
    </row>
    <row r="483" spans="1:9" x14ac:dyDescent="0.2">
      <c r="A483" s="40"/>
      <c r="B483" s="46"/>
      <c r="C483" s="43"/>
      <c r="D483" s="43"/>
      <c r="E483" s="43"/>
      <c r="F483" s="43"/>
      <c r="G483" s="48">
        <v>0</v>
      </c>
      <c r="H483" s="48">
        <v>99481.188181818201</v>
      </c>
      <c r="I483" s="50"/>
    </row>
    <row r="484" spans="1:9" x14ac:dyDescent="0.2">
      <c r="A484" s="40"/>
      <c r="B484" s="46"/>
      <c r="C484" s="43"/>
      <c r="D484" s="43"/>
      <c r="E484" s="43"/>
      <c r="F484" s="43"/>
      <c r="G484" s="48">
        <v>0</v>
      </c>
      <c r="H484" s="48">
        <v>99481.188181818201</v>
      </c>
      <c r="I484" s="50"/>
    </row>
    <row r="485" spans="1:9" x14ac:dyDescent="0.2">
      <c r="A485" s="40">
        <v>83</v>
      </c>
      <c r="B485" s="46" t="s">
        <v>265</v>
      </c>
      <c r="C485" s="43">
        <v>36338</v>
      </c>
      <c r="D485" s="43"/>
      <c r="E485" s="43"/>
      <c r="F485" s="43"/>
      <c r="G485" s="48">
        <v>0</v>
      </c>
      <c r="H485" s="48">
        <v>99481.188181818186</v>
      </c>
      <c r="I485" s="50">
        <v>0</v>
      </c>
    </row>
    <row r="486" spans="1:9" x14ac:dyDescent="0.2">
      <c r="A486" s="40"/>
      <c r="B486" s="46"/>
      <c r="C486" s="43"/>
      <c r="D486" s="43"/>
      <c r="E486" s="43"/>
      <c r="F486" s="43"/>
      <c r="G486" s="48">
        <v>0</v>
      </c>
      <c r="H486" s="48">
        <v>99481.188181818186</v>
      </c>
      <c r="I486" s="50"/>
    </row>
    <row r="487" spans="1:9" x14ac:dyDescent="0.2">
      <c r="A487" s="40"/>
      <c r="B487" s="46"/>
      <c r="C487" s="43"/>
      <c r="D487" s="43"/>
      <c r="E487" s="43"/>
      <c r="F487" s="43"/>
      <c r="G487" s="48">
        <v>0</v>
      </c>
      <c r="H487" s="48">
        <v>99481.188181818186</v>
      </c>
      <c r="I487" s="50"/>
    </row>
    <row r="488" spans="1:9" x14ac:dyDescent="0.2">
      <c r="A488" s="40"/>
      <c r="B488" s="46"/>
      <c r="C488" s="43"/>
      <c r="D488" s="43"/>
      <c r="E488" s="43"/>
      <c r="F488" s="43"/>
      <c r="G488" s="48">
        <v>0</v>
      </c>
      <c r="H488" s="48">
        <v>99481.188181818186</v>
      </c>
      <c r="I488" s="50"/>
    </row>
    <row r="489" spans="1:9" x14ac:dyDescent="0.2">
      <c r="A489" s="40"/>
      <c r="B489" s="46"/>
      <c r="C489" s="43"/>
      <c r="D489" s="43"/>
      <c r="E489" s="43"/>
      <c r="F489" s="43"/>
      <c r="G489" s="48">
        <v>0</v>
      </c>
      <c r="H489" s="48">
        <v>99481.188181818186</v>
      </c>
      <c r="I489" s="50"/>
    </row>
    <row r="490" spans="1:9" x14ac:dyDescent="0.2">
      <c r="A490" s="40"/>
      <c r="B490" s="46"/>
      <c r="C490" s="43"/>
      <c r="D490" s="44"/>
      <c r="E490" s="43"/>
      <c r="F490" s="43"/>
      <c r="G490" s="48">
        <v>0</v>
      </c>
      <c r="H490" s="48">
        <v>99481.188181818186</v>
      </c>
      <c r="I490" s="50"/>
    </row>
    <row r="491" spans="1:9" x14ac:dyDescent="0.2">
      <c r="A491" s="40"/>
      <c r="B491" s="46"/>
      <c r="C491" s="43"/>
      <c r="D491" s="44"/>
      <c r="E491" s="43"/>
      <c r="F491" s="43"/>
      <c r="G491" s="48">
        <v>0</v>
      </c>
      <c r="H491" s="48">
        <v>99481.188181818186</v>
      </c>
      <c r="I491" s="50"/>
    </row>
    <row r="492" spans="1:9" x14ac:dyDescent="0.2">
      <c r="A492" s="40"/>
      <c r="B492" s="46"/>
      <c r="C492" s="43"/>
      <c r="D492" s="44"/>
      <c r="E492" s="43"/>
      <c r="F492" s="43"/>
      <c r="G492" s="48">
        <v>0</v>
      </c>
      <c r="H492" s="48">
        <v>99481.188181818186</v>
      </c>
      <c r="I492" s="50"/>
    </row>
    <row r="493" spans="1:9" x14ac:dyDescent="0.2">
      <c r="A493" s="40"/>
      <c r="B493" s="46"/>
      <c r="C493" s="43"/>
      <c r="D493" s="44"/>
      <c r="E493" s="43"/>
      <c r="F493" s="43"/>
      <c r="G493" s="48">
        <v>0</v>
      </c>
      <c r="H493" s="48">
        <v>99481.188181818186</v>
      </c>
      <c r="I493" s="50"/>
    </row>
    <row r="494" spans="1:9" x14ac:dyDescent="0.2">
      <c r="A494" s="40"/>
      <c r="B494" s="46"/>
      <c r="C494" s="43"/>
      <c r="D494" s="44"/>
      <c r="E494" s="43"/>
      <c r="F494" s="43"/>
      <c r="G494" s="48">
        <v>0</v>
      </c>
      <c r="H494" s="48">
        <v>99481.188181818186</v>
      </c>
      <c r="I494" s="50"/>
    </row>
    <row r="495" spans="1:9" x14ac:dyDescent="0.2">
      <c r="A495" s="40"/>
      <c r="B495" s="46"/>
      <c r="C495" s="43"/>
      <c r="D495" s="44"/>
      <c r="E495" s="43"/>
      <c r="F495" s="43"/>
      <c r="G495" s="48">
        <v>0</v>
      </c>
      <c r="H495" s="48">
        <v>99481.188181818186</v>
      </c>
      <c r="I495" s="50"/>
    </row>
    <row r="496" spans="1:9" x14ac:dyDescent="0.2">
      <c r="A496" s="40"/>
      <c r="B496" s="46"/>
      <c r="C496" s="43"/>
      <c r="D496" s="44"/>
      <c r="E496" s="43"/>
      <c r="F496" s="43"/>
      <c r="G496" s="48">
        <v>0</v>
      </c>
      <c r="H496" s="48">
        <v>99481.188181818186</v>
      </c>
      <c r="I496" s="50"/>
    </row>
    <row r="497" spans="1:9" x14ac:dyDescent="0.2">
      <c r="A497" s="40"/>
      <c r="B497" s="46"/>
      <c r="C497" s="43"/>
      <c r="D497" s="43"/>
      <c r="E497" s="43"/>
      <c r="F497" s="43"/>
      <c r="G497" s="48">
        <v>0</v>
      </c>
      <c r="H497" s="48">
        <v>99481.188181818186</v>
      </c>
      <c r="I497" s="50"/>
    </row>
    <row r="498" spans="1:9" x14ac:dyDescent="0.2">
      <c r="A498" s="40"/>
      <c r="B498" s="46"/>
      <c r="C498" s="43"/>
      <c r="D498" s="43"/>
      <c r="E498" s="43"/>
      <c r="F498" s="43"/>
      <c r="G498" s="48">
        <v>0</v>
      </c>
      <c r="H498" s="48">
        <v>99481.188181818186</v>
      </c>
      <c r="I498" s="50"/>
    </row>
    <row r="499" spans="1:9" x14ac:dyDescent="0.2">
      <c r="A499" s="40"/>
      <c r="B499" s="46"/>
      <c r="C499" s="43"/>
      <c r="D499" s="43"/>
      <c r="E499" s="43"/>
      <c r="F499" s="43"/>
      <c r="G499" s="48">
        <v>0</v>
      </c>
      <c r="H499" s="48">
        <v>99481.188181818186</v>
      </c>
      <c r="I499" s="50"/>
    </row>
    <row r="500" spans="1:9" x14ac:dyDescent="0.2">
      <c r="A500" s="40"/>
      <c r="B500" s="46"/>
      <c r="C500" s="43"/>
      <c r="D500" s="43"/>
      <c r="E500" s="43"/>
      <c r="F500" s="43"/>
      <c r="G500" s="48">
        <v>0</v>
      </c>
      <c r="H500" s="48">
        <v>99481.188181818186</v>
      </c>
      <c r="I500" s="50"/>
    </row>
    <row r="501" spans="1:9" x14ac:dyDescent="0.2">
      <c r="A501" s="40">
        <v>84</v>
      </c>
      <c r="B501" s="123" t="s">
        <v>268</v>
      </c>
      <c r="C501" s="124">
        <v>36341</v>
      </c>
      <c r="D501" s="130" t="s">
        <v>963</v>
      </c>
      <c r="E501" s="124" t="s">
        <v>662</v>
      </c>
      <c r="F501" s="124">
        <v>0.63874999999999993</v>
      </c>
      <c r="G501" s="125">
        <v>52330.030713068183</v>
      </c>
      <c r="H501" s="125">
        <v>81925.684090909097</v>
      </c>
      <c r="I501" s="126">
        <v>292474.69220454548</v>
      </c>
    </row>
    <row r="502" spans="1:9" x14ac:dyDescent="0.2">
      <c r="A502" s="40"/>
      <c r="B502" s="123"/>
      <c r="C502" s="124"/>
      <c r="D502" s="130" t="s">
        <v>947</v>
      </c>
      <c r="E502" s="124" t="s">
        <v>662</v>
      </c>
      <c r="F502" s="124">
        <v>0.26750000000000007</v>
      </c>
      <c r="G502" s="125">
        <v>21915.120494318191</v>
      </c>
      <c r="H502" s="125">
        <v>81925.684090909097</v>
      </c>
      <c r="I502" s="126"/>
    </row>
    <row r="503" spans="1:9" x14ac:dyDescent="0.2">
      <c r="A503" s="40"/>
      <c r="B503" s="123"/>
      <c r="C503" s="124"/>
      <c r="D503" s="130" t="s">
        <v>944</v>
      </c>
      <c r="E503" s="124" t="s">
        <v>662</v>
      </c>
      <c r="F503" s="124">
        <v>0.52249999999999996</v>
      </c>
      <c r="G503" s="125">
        <v>42806.169937500003</v>
      </c>
      <c r="H503" s="125">
        <v>81925.684090909097</v>
      </c>
      <c r="I503" s="126"/>
    </row>
    <row r="504" spans="1:9" x14ac:dyDescent="0.2">
      <c r="A504" s="40"/>
      <c r="B504" s="123"/>
      <c r="C504" s="124"/>
      <c r="D504" s="130" t="s">
        <v>948</v>
      </c>
      <c r="E504" s="124" t="s">
        <v>662</v>
      </c>
      <c r="F504" s="124">
        <v>0.1862499999999998</v>
      </c>
      <c r="G504" s="125">
        <v>15258.658661931804</v>
      </c>
      <c r="H504" s="125">
        <v>81925.684090909097</v>
      </c>
      <c r="I504" s="126"/>
    </row>
    <row r="505" spans="1:9" x14ac:dyDescent="0.2">
      <c r="A505" s="40"/>
      <c r="B505" s="123"/>
      <c r="C505" s="124"/>
      <c r="D505" s="130" t="s">
        <v>962</v>
      </c>
      <c r="E505" s="124" t="s">
        <v>662</v>
      </c>
      <c r="F505" s="124">
        <v>0.26124999999999998</v>
      </c>
      <c r="G505" s="125">
        <v>21403.084968750001</v>
      </c>
      <c r="H505" s="125">
        <v>81925.684090909097</v>
      </c>
      <c r="I505" s="126"/>
    </row>
    <row r="506" spans="1:9" x14ac:dyDescent="0.2">
      <c r="A506" s="40"/>
      <c r="B506" s="123"/>
      <c r="C506" s="124"/>
      <c r="D506" s="130" t="s">
        <v>961</v>
      </c>
      <c r="E506" s="124" t="s">
        <v>662</v>
      </c>
      <c r="F506" s="124">
        <v>0.29124999999999979</v>
      </c>
      <c r="G506" s="125">
        <v>23860.855491477258</v>
      </c>
      <c r="H506" s="125">
        <v>81925.684090909097</v>
      </c>
      <c r="I506" s="126"/>
    </row>
    <row r="507" spans="1:9" x14ac:dyDescent="0.2">
      <c r="A507" s="40"/>
      <c r="B507" s="123"/>
      <c r="C507" s="124"/>
      <c r="D507" s="124" t="s">
        <v>952</v>
      </c>
      <c r="E507" s="124" t="s">
        <v>662</v>
      </c>
      <c r="F507" s="124">
        <v>0.42625000000000002</v>
      </c>
      <c r="G507" s="125">
        <v>34920.822843750007</v>
      </c>
      <c r="H507" s="125">
        <v>81925.684090909097</v>
      </c>
      <c r="I507" s="126"/>
    </row>
    <row r="508" spans="1:9" x14ac:dyDescent="0.2">
      <c r="A508" s="40"/>
      <c r="B508" s="123"/>
      <c r="C508" s="124"/>
      <c r="D508" s="128" t="s">
        <v>965</v>
      </c>
      <c r="E508" s="124" t="s">
        <v>662</v>
      </c>
      <c r="F508" s="124">
        <v>0.44874999999999998</v>
      </c>
      <c r="G508" s="125">
        <v>36764.150735795454</v>
      </c>
      <c r="H508" s="125">
        <v>81925.684090909097</v>
      </c>
      <c r="I508" s="126"/>
    </row>
    <row r="509" spans="1:9" x14ac:dyDescent="0.2">
      <c r="A509" s="40"/>
      <c r="B509" s="123"/>
      <c r="C509" s="124"/>
      <c r="D509" s="128" t="s">
        <v>956</v>
      </c>
      <c r="E509" s="124" t="s">
        <v>662</v>
      </c>
      <c r="F509" s="124">
        <v>0.375</v>
      </c>
      <c r="G509" s="125">
        <v>30722.131534090913</v>
      </c>
      <c r="H509" s="125">
        <v>81925.684090909097</v>
      </c>
      <c r="I509" s="126"/>
    </row>
    <row r="510" spans="1:9" x14ac:dyDescent="0.2">
      <c r="A510" s="40"/>
      <c r="B510" s="123"/>
      <c r="C510" s="124"/>
      <c r="D510" s="128" t="s">
        <v>958</v>
      </c>
      <c r="E510" s="124" t="s">
        <v>662</v>
      </c>
      <c r="F510" s="124">
        <v>0.15249999999999986</v>
      </c>
      <c r="G510" s="125">
        <v>12493.666823863625</v>
      </c>
      <c r="H510" s="125">
        <v>81925.684090909097</v>
      </c>
      <c r="I510" s="126"/>
    </row>
    <row r="511" spans="1:9" x14ac:dyDescent="0.2">
      <c r="A511" s="40"/>
      <c r="B511" s="46"/>
      <c r="C511" s="43"/>
      <c r="D511" s="44"/>
      <c r="E511" s="43"/>
      <c r="F511" s="43"/>
      <c r="G511" s="48">
        <v>0</v>
      </c>
      <c r="H511" s="48">
        <v>81925.684090909097</v>
      </c>
      <c r="I511" s="50"/>
    </row>
    <row r="512" spans="1:9" x14ac:dyDescent="0.2">
      <c r="A512" s="40"/>
      <c r="B512" s="46"/>
      <c r="C512" s="43"/>
      <c r="D512" s="44"/>
      <c r="E512" s="43"/>
      <c r="F512" s="43"/>
      <c r="G512" s="48">
        <v>0</v>
      </c>
      <c r="H512" s="48">
        <v>81925.684090909097</v>
      </c>
      <c r="I512" s="50"/>
    </row>
    <row r="513" spans="1:9" x14ac:dyDescent="0.2">
      <c r="A513" s="40"/>
      <c r="B513" s="46"/>
      <c r="C513" s="43"/>
      <c r="D513" s="44"/>
      <c r="E513" s="43"/>
      <c r="F513" s="43"/>
      <c r="G513" s="48">
        <v>0</v>
      </c>
      <c r="H513" s="48">
        <v>81925.684090909097</v>
      </c>
      <c r="I513" s="50"/>
    </row>
    <row r="514" spans="1:9" x14ac:dyDescent="0.2">
      <c r="A514" s="40"/>
      <c r="B514" s="46"/>
      <c r="C514" s="43"/>
      <c r="D514" s="44"/>
      <c r="E514" s="43"/>
      <c r="F514" s="43"/>
      <c r="G514" s="48">
        <v>0</v>
      </c>
      <c r="H514" s="48">
        <v>81925.684090909097</v>
      </c>
      <c r="I514" s="50"/>
    </row>
    <row r="515" spans="1:9" x14ac:dyDescent="0.2">
      <c r="A515" s="40"/>
      <c r="B515" s="46"/>
      <c r="C515" s="43"/>
      <c r="D515" s="44"/>
      <c r="E515" s="43"/>
      <c r="F515" s="43"/>
      <c r="G515" s="48">
        <v>0</v>
      </c>
      <c r="H515" s="48">
        <v>81925.684090909097</v>
      </c>
      <c r="I515" s="50"/>
    </row>
    <row r="516" spans="1:9" x14ac:dyDescent="0.2">
      <c r="A516" s="40"/>
      <c r="B516" s="46"/>
      <c r="C516" s="43"/>
      <c r="D516" s="44"/>
      <c r="E516" s="43"/>
      <c r="F516" s="43"/>
      <c r="G516" s="48">
        <v>0</v>
      </c>
      <c r="H516" s="48">
        <v>81925.684090909097</v>
      </c>
      <c r="I516" s="50"/>
    </row>
    <row r="517" spans="1:9" x14ac:dyDescent="0.2">
      <c r="A517" s="40"/>
      <c r="B517" s="46"/>
      <c r="C517" s="43"/>
      <c r="D517" s="44"/>
      <c r="E517" s="43"/>
      <c r="F517" s="43"/>
      <c r="G517" s="48">
        <v>0</v>
      </c>
      <c r="H517" s="48">
        <v>81925.684090909097</v>
      </c>
      <c r="I517" s="50"/>
    </row>
    <row r="518" spans="1:9" x14ac:dyDescent="0.2">
      <c r="A518" s="40"/>
      <c r="B518" s="46"/>
      <c r="C518" s="43"/>
      <c r="D518" s="44"/>
      <c r="E518" s="43"/>
      <c r="F518" s="43"/>
      <c r="G518" s="48">
        <v>0</v>
      </c>
      <c r="H518" s="48">
        <v>81925.684090909097</v>
      </c>
      <c r="I518" s="50"/>
    </row>
    <row r="519" spans="1:9" x14ac:dyDescent="0.2">
      <c r="A519" s="40">
        <v>85</v>
      </c>
      <c r="B519" s="123" t="s">
        <v>270</v>
      </c>
      <c r="C519" s="124">
        <v>36342</v>
      </c>
      <c r="D519" s="128" t="s">
        <v>967</v>
      </c>
      <c r="E519" s="124" t="s">
        <v>662</v>
      </c>
      <c r="F519" s="124">
        <v>3.9162500000000007</v>
      </c>
      <c r="G519" s="125">
        <v>297924.21328238642</v>
      </c>
      <c r="H519" s="125">
        <v>76073.849545454548</v>
      </c>
      <c r="I519" s="126">
        <v>365805.48600965913</v>
      </c>
    </row>
    <row r="520" spans="1:9" x14ac:dyDescent="0.2">
      <c r="A520" s="40"/>
      <c r="B520" s="123"/>
      <c r="C520" s="124"/>
      <c r="D520" s="128" t="s">
        <v>968</v>
      </c>
      <c r="E520" s="124" t="s">
        <v>969</v>
      </c>
      <c r="F520" s="124">
        <v>1</v>
      </c>
      <c r="G520" s="125">
        <v>67881.272727272721</v>
      </c>
      <c r="H520" s="125">
        <v>67881.272727272721</v>
      </c>
      <c r="I520" s="126"/>
    </row>
    <row r="521" spans="1:9" x14ac:dyDescent="0.2">
      <c r="A521" s="40"/>
      <c r="B521" s="46"/>
      <c r="C521" s="43"/>
      <c r="D521" s="44"/>
      <c r="E521" s="43"/>
      <c r="F521" s="43"/>
      <c r="G521" s="48">
        <v>0</v>
      </c>
      <c r="H521" s="48">
        <v>76073.849545454548</v>
      </c>
      <c r="I521" s="50"/>
    </row>
    <row r="522" spans="1:9" x14ac:dyDescent="0.2">
      <c r="A522" s="40"/>
      <c r="B522" s="46"/>
      <c r="C522" s="43"/>
      <c r="D522" s="44"/>
      <c r="E522" s="43"/>
      <c r="F522" s="43"/>
      <c r="G522" s="48">
        <v>0</v>
      </c>
      <c r="H522" s="48">
        <v>76073.849545454548</v>
      </c>
      <c r="I522" s="50"/>
    </row>
    <row r="523" spans="1:9" x14ac:dyDescent="0.2">
      <c r="A523" s="40"/>
      <c r="B523" s="46"/>
      <c r="C523" s="43"/>
      <c r="D523" s="44"/>
      <c r="E523" s="43"/>
      <c r="F523" s="43"/>
      <c r="G523" s="48">
        <v>0</v>
      </c>
      <c r="H523" s="48">
        <v>76073.849545454548</v>
      </c>
      <c r="I523" s="50"/>
    </row>
    <row r="524" spans="1:9" x14ac:dyDescent="0.2">
      <c r="A524" s="40"/>
      <c r="B524" s="46"/>
      <c r="C524" s="43"/>
      <c r="D524" s="43"/>
      <c r="E524" s="43"/>
      <c r="F524" s="43"/>
      <c r="G524" s="48">
        <v>0</v>
      </c>
      <c r="H524" s="48">
        <v>76073.849545454548</v>
      </c>
      <c r="I524" s="50"/>
    </row>
    <row r="525" spans="1:9" x14ac:dyDescent="0.2">
      <c r="A525" s="40"/>
      <c r="B525" s="46"/>
      <c r="C525" s="43"/>
      <c r="D525" s="43"/>
      <c r="E525" s="43"/>
      <c r="F525" s="43"/>
      <c r="G525" s="48">
        <v>0</v>
      </c>
      <c r="H525" s="48">
        <v>76073.849545454548</v>
      </c>
      <c r="I525" s="50"/>
    </row>
    <row r="526" spans="1:9" x14ac:dyDescent="0.2">
      <c r="A526" s="40"/>
      <c r="B526" s="46"/>
      <c r="C526" s="43"/>
      <c r="D526" s="43"/>
      <c r="E526" s="43"/>
      <c r="F526" s="43"/>
      <c r="G526" s="48">
        <v>0</v>
      </c>
      <c r="H526" s="48">
        <v>76073.849545454548</v>
      </c>
      <c r="I526" s="50"/>
    </row>
    <row r="527" spans="1:9" x14ac:dyDescent="0.2">
      <c r="A527" s="40"/>
      <c r="B527" s="46"/>
      <c r="C527" s="43"/>
      <c r="D527" s="43"/>
      <c r="E527" s="43"/>
      <c r="F527" s="43"/>
      <c r="G527" s="48">
        <v>0</v>
      </c>
      <c r="H527" s="48">
        <v>76073.849545454548</v>
      </c>
      <c r="I527" s="50"/>
    </row>
    <row r="528" spans="1:9" x14ac:dyDescent="0.2">
      <c r="A528" s="40"/>
      <c r="B528" s="46"/>
      <c r="C528" s="43"/>
      <c r="D528" s="43"/>
      <c r="E528" s="43"/>
      <c r="F528" s="43"/>
      <c r="G528" s="48">
        <v>0</v>
      </c>
      <c r="H528" s="48">
        <v>76073.849545454548</v>
      </c>
      <c r="I528" s="50"/>
    </row>
    <row r="529" spans="1:9" x14ac:dyDescent="0.2">
      <c r="A529" s="40"/>
      <c r="B529" s="46"/>
      <c r="C529" s="43"/>
      <c r="D529" s="44"/>
      <c r="E529" s="43"/>
      <c r="F529" s="43"/>
      <c r="G529" s="48">
        <v>0</v>
      </c>
      <c r="H529" s="48">
        <v>76073.849545454548</v>
      </c>
      <c r="I529" s="50"/>
    </row>
    <row r="530" spans="1:9" x14ac:dyDescent="0.2">
      <c r="A530" s="40">
        <v>86</v>
      </c>
      <c r="B530" s="46" t="s">
        <v>272</v>
      </c>
      <c r="C530" s="43">
        <v>36343</v>
      </c>
      <c r="D530" s="44" t="s">
        <v>949</v>
      </c>
      <c r="E530" s="43" t="s">
        <v>657</v>
      </c>
      <c r="F530" s="43">
        <v>1.0575000000000001</v>
      </c>
      <c r="G530" s="48">
        <v>71784.445909090908</v>
      </c>
      <c r="H530" s="48">
        <v>67881.272727272721</v>
      </c>
      <c r="I530" s="50">
        <v>179376.26318181813</v>
      </c>
    </row>
    <row r="531" spans="1:9" x14ac:dyDescent="0.2">
      <c r="A531" s="40"/>
      <c r="B531" s="46"/>
      <c r="C531" s="43"/>
      <c r="D531" s="43" t="s">
        <v>953</v>
      </c>
      <c r="E531" s="43" t="s">
        <v>657</v>
      </c>
      <c r="F531" s="43">
        <v>1.585</v>
      </c>
      <c r="G531" s="48">
        <v>107591.81727272723</v>
      </c>
      <c r="H531" s="48">
        <v>67881.272727272706</v>
      </c>
      <c r="I531" s="50"/>
    </row>
    <row r="532" spans="1:9" x14ac:dyDescent="0.2">
      <c r="A532" s="40"/>
      <c r="B532" s="46"/>
      <c r="C532" s="43"/>
      <c r="D532" s="43"/>
      <c r="E532" s="43"/>
      <c r="F532" s="43"/>
      <c r="G532" s="48">
        <v>0</v>
      </c>
      <c r="H532" s="48">
        <v>67881.272727272706</v>
      </c>
      <c r="I532" s="50"/>
    </row>
    <row r="533" spans="1:9" x14ac:dyDescent="0.2">
      <c r="A533" s="40">
        <v>87</v>
      </c>
      <c r="B533" s="46" t="s">
        <v>274</v>
      </c>
      <c r="C533" s="43">
        <v>36344</v>
      </c>
      <c r="D533" s="43"/>
      <c r="E533" s="43"/>
      <c r="F533" s="43"/>
      <c r="G533" s="48">
        <v>0</v>
      </c>
      <c r="H533" s="48">
        <v>93629.353636363638</v>
      </c>
      <c r="I533" s="50">
        <v>0</v>
      </c>
    </row>
    <row r="534" spans="1:9" x14ac:dyDescent="0.2">
      <c r="A534" s="40"/>
      <c r="B534" s="46"/>
      <c r="C534" s="43"/>
      <c r="D534" s="44"/>
      <c r="E534" s="43"/>
      <c r="F534" s="43"/>
      <c r="G534" s="48">
        <v>0</v>
      </c>
      <c r="H534" s="48">
        <v>93629.353636363594</v>
      </c>
      <c r="I534" s="50"/>
    </row>
    <row r="535" spans="1:9" x14ac:dyDescent="0.2">
      <c r="A535" s="40"/>
      <c r="B535" s="46"/>
      <c r="C535" s="43"/>
      <c r="D535" s="44"/>
      <c r="E535" s="43"/>
      <c r="F535" s="43"/>
      <c r="G535" s="48">
        <v>0</v>
      </c>
      <c r="H535" s="48">
        <v>93629.353636363594</v>
      </c>
      <c r="I535" s="50"/>
    </row>
    <row r="536" spans="1:9" x14ac:dyDescent="0.2">
      <c r="A536" s="40"/>
      <c r="B536" s="46"/>
      <c r="C536" s="43"/>
      <c r="D536" s="43"/>
      <c r="E536" s="43"/>
      <c r="F536" s="43"/>
      <c r="G536" s="48">
        <v>0</v>
      </c>
      <c r="H536" s="48">
        <v>93629.353636363594</v>
      </c>
      <c r="I536" s="50"/>
    </row>
    <row r="537" spans="1:9" x14ac:dyDescent="0.2">
      <c r="A537" s="40"/>
      <c r="B537" s="46"/>
      <c r="C537" s="43"/>
      <c r="D537" s="44"/>
      <c r="E537" s="43"/>
      <c r="F537" s="43"/>
      <c r="G537" s="48">
        <v>0</v>
      </c>
      <c r="H537" s="48">
        <v>93629.353636363594</v>
      </c>
      <c r="I537" s="50"/>
    </row>
    <row r="538" spans="1:9" x14ac:dyDescent="0.2">
      <c r="A538" s="40"/>
      <c r="B538" s="46"/>
      <c r="C538" s="43"/>
      <c r="D538" s="43"/>
      <c r="E538" s="43"/>
      <c r="F538" s="43"/>
      <c r="G538" s="48">
        <v>0</v>
      </c>
      <c r="H538" s="48">
        <v>93629.353636363594</v>
      </c>
      <c r="I538" s="50"/>
    </row>
    <row r="539" spans="1:9" x14ac:dyDescent="0.2">
      <c r="A539" s="40"/>
      <c r="B539" s="46"/>
      <c r="C539" s="43"/>
      <c r="D539" s="43"/>
      <c r="E539" s="43"/>
      <c r="F539" s="43"/>
      <c r="G539" s="48">
        <v>0</v>
      </c>
      <c r="H539" s="48">
        <v>93629.353636363594</v>
      </c>
      <c r="I539" s="50"/>
    </row>
    <row r="540" spans="1:9" x14ac:dyDescent="0.2">
      <c r="A540" s="40"/>
      <c r="B540" s="46"/>
      <c r="C540" s="43"/>
      <c r="D540" s="44"/>
      <c r="E540" s="43"/>
      <c r="F540" s="43"/>
      <c r="G540" s="48">
        <v>0</v>
      </c>
      <c r="H540" s="48">
        <v>93629.353636363594</v>
      </c>
      <c r="I540" s="50"/>
    </row>
    <row r="541" spans="1:9" x14ac:dyDescent="0.2">
      <c r="A541" s="40">
        <v>88</v>
      </c>
      <c r="B541" s="123" t="s">
        <v>276</v>
      </c>
      <c r="C541" s="124">
        <v>36345</v>
      </c>
      <c r="D541" s="128" t="s">
        <v>942</v>
      </c>
      <c r="E541" s="124" t="s">
        <v>662</v>
      </c>
      <c r="F541" s="124">
        <v>0.16500000000000004</v>
      </c>
      <c r="G541" s="125">
        <v>12552.185175000002</v>
      </c>
      <c r="H541" s="125">
        <v>76073.849545454548</v>
      </c>
      <c r="I541" s="126">
        <v>318369.06034772727</v>
      </c>
    </row>
    <row r="542" spans="1:9" x14ac:dyDescent="0.2">
      <c r="A542" s="40"/>
      <c r="B542" s="123"/>
      <c r="C542" s="124"/>
      <c r="D542" s="128" t="s">
        <v>957</v>
      </c>
      <c r="E542" s="124" t="s">
        <v>662</v>
      </c>
      <c r="F542" s="124">
        <v>0.5637500000000002</v>
      </c>
      <c r="G542" s="125">
        <v>42886.632681250019</v>
      </c>
      <c r="H542" s="125">
        <v>76073.849545454548</v>
      </c>
      <c r="I542" s="126"/>
    </row>
    <row r="543" spans="1:9" x14ac:dyDescent="0.2">
      <c r="A543" s="40"/>
      <c r="B543" s="123"/>
      <c r="C543" s="124"/>
      <c r="D543" s="128" t="s">
        <v>938</v>
      </c>
      <c r="E543" s="124" t="s">
        <v>657</v>
      </c>
      <c r="F543" s="124">
        <v>1</v>
      </c>
      <c r="G543" s="125">
        <v>76073.849545454548</v>
      </c>
      <c r="H543" s="125">
        <v>76073.849545454548</v>
      </c>
      <c r="I543" s="126"/>
    </row>
    <row r="544" spans="1:9" x14ac:dyDescent="0.2">
      <c r="A544" s="40"/>
      <c r="B544" s="123"/>
      <c r="C544" s="124"/>
      <c r="D544" s="128" t="s">
        <v>964</v>
      </c>
      <c r="E544" s="124" t="s">
        <v>662</v>
      </c>
      <c r="F544" s="124">
        <v>0.18999999999999995</v>
      </c>
      <c r="G544" s="125">
        <v>14454.03141363636</v>
      </c>
      <c r="H544" s="125">
        <v>76073.849545454548</v>
      </c>
      <c r="I544" s="126"/>
    </row>
    <row r="545" spans="1:9" x14ac:dyDescent="0.2">
      <c r="A545" s="40"/>
      <c r="B545" s="123"/>
      <c r="C545" s="124"/>
      <c r="D545" s="128" t="s">
        <v>960</v>
      </c>
      <c r="E545" s="124" t="s">
        <v>662</v>
      </c>
      <c r="F545" s="124">
        <v>0.28125</v>
      </c>
      <c r="G545" s="125">
        <v>21395.770184659094</v>
      </c>
      <c r="H545" s="125">
        <v>76073.849545454548</v>
      </c>
      <c r="I545" s="126"/>
    </row>
    <row r="546" spans="1:9" x14ac:dyDescent="0.2">
      <c r="A546" s="40"/>
      <c r="B546" s="123"/>
      <c r="C546" s="124"/>
      <c r="D546" s="124" t="s">
        <v>940</v>
      </c>
      <c r="E546" s="124" t="s">
        <v>657</v>
      </c>
      <c r="F546" s="124">
        <v>1</v>
      </c>
      <c r="G546" s="125">
        <v>76073.849545454548</v>
      </c>
      <c r="H546" s="125">
        <v>76073.849545454548</v>
      </c>
      <c r="I546" s="126"/>
    </row>
    <row r="547" spans="1:9" x14ac:dyDescent="0.2">
      <c r="A547" s="40"/>
      <c r="B547" s="123"/>
      <c r="C547" s="124"/>
      <c r="D547" s="124" t="s">
        <v>961</v>
      </c>
      <c r="E547" s="124" t="s">
        <v>662</v>
      </c>
      <c r="F547" s="124">
        <v>0.44749999999999979</v>
      </c>
      <c r="G547" s="125">
        <v>34043.047671590895</v>
      </c>
      <c r="H547" s="125">
        <v>76073.849545454548</v>
      </c>
      <c r="I547" s="126"/>
    </row>
    <row r="548" spans="1:9" x14ac:dyDescent="0.2">
      <c r="A548" s="40"/>
      <c r="B548" s="123"/>
      <c r="C548" s="124"/>
      <c r="D548" s="128" t="s">
        <v>899</v>
      </c>
      <c r="E548" s="124" t="s">
        <v>657</v>
      </c>
      <c r="F548" s="124">
        <v>0.53750000000000009</v>
      </c>
      <c r="G548" s="125">
        <v>40889.694130681826</v>
      </c>
      <c r="H548" s="125">
        <v>76073.849545454548</v>
      </c>
      <c r="I548" s="126"/>
    </row>
    <row r="549" spans="1:9" x14ac:dyDescent="0.2">
      <c r="A549" s="40">
        <v>89</v>
      </c>
      <c r="B549" s="46" t="s">
        <v>278</v>
      </c>
      <c r="C549" s="43">
        <v>36346</v>
      </c>
      <c r="D549" s="44"/>
      <c r="E549" s="43"/>
      <c r="F549" s="43"/>
      <c r="G549" s="48">
        <v>0</v>
      </c>
      <c r="H549" s="48">
        <v>76073.849545454548</v>
      </c>
      <c r="I549" s="50">
        <v>0</v>
      </c>
    </row>
    <row r="550" spans="1:9" x14ac:dyDescent="0.2">
      <c r="A550" s="40"/>
      <c r="B550" s="46"/>
      <c r="C550" s="43"/>
      <c r="D550" s="44"/>
      <c r="E550" s="43"/>
      <c r="F550" s="43"/>
      <c r="G550" s="48">
        <v>0</v>
      </c>
      <c r="H550" s="48">
        <v>76073.849545454548</v>
      </c>
      <c r="I550" s="50"/>
    </row>
    <row r="551" spans="1:9" x14ac:dyDescent="0.2">
      <c r="A551" s="40"/>
      <c r="B551" s="46"/>
      <c r="C551" s="43"/>
      <c r="D551" s="44"/>
      <c r="E551" s="43"/>
      <c r="F551" s="43"/>
      <c r="G551" s="48">
        <v>0</v>
      </c>
      <c r="H551" s="48">
        <v>76073.849545454548</v>
      </c>
      <c r="I551" s="50"/>
    </row>
    <row r="552" spans="1:9" x14ac:dyDescent="0.2">
      <c r="A552" s="40"/>
      <c r="B552" s="46"/>
      <c r="C552" s="43"/>
      <c r="D552" s="44"/>
      <c r="E552" s="43"/>
      <c r="F552" s="43"/>
      <c r="G552" s="48">
        <v>0</v>
      </c>
      <c r="H552" s="48">
        <v>76073.849545454548</v>
      </c>
      <c r="I552" s="50"/>
    </row>
    <row r="553" spans="1:9" x14ac:dyDescent="0.2">
      <c r="A553" s="40"/>
      <c r="B553" s="46"/>
      <c r="C553" s="43"/>
      <c r="D553" s="44"/>
      <c r="E553" s="43"/>
      <c r="F553" s="43"/>
      <c r="G553" s="48">
        <v>0</v>
      </c>
      <c r="H553" s="48">
        <v>76073.849545454548</v>
      </c>
      <c r="I553" s="50"/>
    </row>
    <row r="554" spans="1:9" x14ac:dyDescent="0.2">
      <c r="A554" s="40"/>
      <c r="B554" s="46"/>
      <c r="C554" s="43"/>
      <c r="D554" s="44"/>
      <c r="E554" s="43"/>
      <c r="F554" s="43"/>
      <c r="G554" s="48">
        <v>0</v>
      </c>
      <c r="H554" s="48">
        <v>76073.849545454548</v>
      </c>
      <c r="I554" s="50"/>
    </row>
    <row r="555" spans="1:9" x14ac:dyDescent="0.2">
      <c r="A555" s="40">
        <v>90</v>
      </c>
      <c r="B555" s="123" t="s">
        <v>285</v>
      </c>
      <c r="C555" s="124">
        <v>36347</v>
      </c>
      <c r="D555" s="128" t="s">
        <v>938</v>
      </c>
      <c r="E555" s="124" t="s">
        <v>657</v>
      </c>
      <c r="F555" s="124">
        <v>1</v>
      </c>
      <c r="G555" s="125">
        <v>99481.188181818186</v>
      </c>
      <c r="H555" s="125">
        <v>99481.188181818186</v>
      </c>
      <c r="I555" s="126">
        <v>186527.22784090909</v>
      </c>
    </row>
    <row r="556" spans="1:9" x14ac:dyDescent="0.2">
      <c r="A556" s="40"/>
      <c r="B556" s="123"/>
      <c r="C556" s="124"/>
      <c r="D556" s="124" t="s">
        <v>951</v>
      </c>
      <c r="E556" s="124" t="s">
        <v>658</v>
      </c>
      <c r="F556" s="124">
        <v>0.875</v>
      </c>
      <c r="G556" s="125">
        <v>87046.039659090908</v>
      </c>
      <c r="H556" s="125">
        <v>99481.188181818186</v>
      </c>
      <c r="I556" s="126"/>
    </row>
    <row r="557" spans="1:9" x14ac:dyDescent="0.2">
      <c r="A557" s="40"/>
      <c r="B557" s="46"/>
      <c r="C557" s="43"/>
      <c r="D557" s="43"/>
      <c r="E557" s="43"/>
      <c r="F557" s="43"/>
      <c r="G557" s="48">
        <v>0</v>
      </c>
      <c r="H557" s="48">
        <v>99481.188181818186</v>
      </c>
      <c r="I557" s="50"/>
    </row>
    <row r="558" spans="1:9" x14ac:dyDescent="0.2">
      <c r="A558" s="40"/>
      <c r="B558" s="46"/>
      <c r="C558" s="43"/>
      <c r="D558" s="43"/>
      <c r="E558" s="43"/>
      <c r="F558" s="43"/>
      <c r="G558" s="48">
        <v>0</v>
      </c>
      <c r="H558" s="48">
        <v>99481.188181818186</v>
      </c>
      <c r="I558" s="50"/>
    </row>
    <row r="559" spans="1:9" x14ac:dyDescent="0.2">
      <c r="A559" s="40"/>
      <c r="B559" s="46"/>
      <c r="C559" s="43"/>
      <c r="D559" s="44"/>
      <c r="E559" s="43"/>
      <c r="F559" s="43"/>
      <c r="G559" s="48">
        <v>0</v>
      </c>
      <c r="H559" s="48">
        <v>99481.188181818201</v>
      </c>
      <c r="I559" s="50"/>
    </row>
    <row r="560" spans="1:9" x14ac:dyDescent="0.2">
      <c r="A560" s="40">
        <v>91</v>
      </c>
      <c r="B560" s="123" t="s">
        <v>283</v>
      </c>
      <c r="C560" s="124">
        <v>36349</v>
      </c>
      <c r="D560" s="128" t="s">
        <v>947</v>
      </c>
      <c r="E560" s="124" t="s">
        <v>659</v>
      </c>
      <c r="F560" s="124">
        <v>1</v>
      </c>
      <c r="G560" s="125">
        <v>93629.353636363638</v>
      </c>
      <c r="H560" s="125">
        <v>93629.353636363638</v>
      </c>
      <c r="I560" s="126">
        <v>93629.353636363638</v>
      </c>
    </row>
    <row r="561" spans="1:9" x14ac:dyDescent="0.2">
      <c r="A561" s="40"/>
      <c r="B561" s="46"/>
      <c r="C561" s="43"/>
      <c r="D561" s="44"/>
      <c r="E561" s="43"/>
      <c r="F561" s="43"/>
      <c r="G561" s="48">
        <v>0</v>
      </c>
      <c r="H561" s="48">
        <v>93629.353636363594</v>
      </c>
      <c r="I561" s="50"/>
    </row>
    <row r="562" spans="1:9" x14ac:dyDescent="0.2">
      <c r="A562" s="40"/>
      <c r="B562" s="46"/>
      <c r="C562" s="43"/>
      <c r="D562" s="43"/>
      <c r="E562" s="43"/>
      <c r="F562" s="43"/>
      <c r="G562" s="48">
        <v>0</v>
      </c>
      <c r="H562" s="48">
        <v>93629.353636363594</v>
      </c>
      <c r="I562" s="50"/>
    </row>
    <row r="563" spans="1:9" x14ac:dyDescent="0.2">
      <c r="A563" s="40"/>
      <c r="B563" s="46"/>
      <c r="C563" s="43"/>
      <c r="D563" s="43"/>
      <c r="E563" s="43"/>
      <c r="F563" s="43"/>
      <c r="G563" s="48">
        <v>0</v>
      </c>
      <c r="H563" s="48">
        <v>93629.353636363594</v>
      </c>
      <c r="I563" s="50"/>
    </row>
    <row r="564" spans="1:9" x14ac:dyDescent="0.2">
      <c r="A564" s="40"/>
      <c r="B564" s="46"/>
      <c r="C564" s="43"/>
      <c r="D564" s="43"/>
      <c r="E564" s="43"/>
      <c r="F564" s="43"/>
      <c r="G564" s="48">
        <v>0</v>
      </c>
      <c r="H564" s="48">
        <v>93629.353636363594</v>
      </c>
      <c r="I564" s="50"/>
    </row>
    <row r="565" spans="1:9" x14ac:dyDescent="0.2">
      <c r="A565" s="40">
        <v>92</v>
      </c>
      <c r="B565" s="46" t="s">
        <v>280</v>
      </c>
      <c r="C565" s="43">
        <v>36350</v>
      </c>
      <c r="D565" s="43"/>
      <c r="E565" s="43"/>
      <c r="F565" s="43"/>
      <c r="G565" s="48">
        <v>0</v>
      </c>
      <c r="H565" s="48">
        <v>113636.36363636363</v>
      </c>
      <c r="I565" s="50">
        <v>0</v>
      </c>
    </row>
    <row r="566" spans="1:9" x14ac:dyDescent="0.2">
      <c r="A566" s="40">
        <v>93</v>
      </c>
      <c r="B566" s="123" t="s">
        <v>288</v>
      </c>
      <c r="C566" s="124">
        <v>36352</v>
      </c>
      <c r="D566" s="130" t="s">
        <v>938</v>
      </c>
      <c r="E566" s="124" t="s">
        <v>657</v>
      </c>
      <c r="F566" s="124">
        <v>1</v>
      </c>
      <c r="G566" s="125">
        <v>99481.188181818186</v>
      </c>
      <c r="H566" s="125">
        <v>99481.188181818186</v>
      </c>
      <c r="I566" s="126">
        <v>198962.37636363637</v>
      </c>
    </row>
    <row r="567" spans="1:9" x14ac:dyDescent="0.2">
      <c r="A567" s="40"/>
      <c r="B567" s="123"/>
      <c r="C567" s="124"/>
      <c r="D567" s="128" t="s">
        <v>949</v>
      </c>
      <c r="E567" s="124" t="s">
        <v>657</v>
      </c>
      <c r="F567" s="124">
        <v>1</v>
      </c>
      <c r="G567" s="125">
        <v>99481.188181818186</v>
      </c>
      <c r="H567" s="125">
        <v>99481.188181818186</v>
      </c>
      <c r="I567" s="126"/>
    </row>
    <row r="568" spans="1:9" x14ac:dyDescent="0.2">
      <c r="A568" s="40"/>
      <c r="B568" s="46"/>
      <c r="C568" s="43"/>
      <c r="D568" s="44"/>
      <c r="E568" s="43"/>
      <c r="F568" s="43"/>
      <c r="G568" s="48">
        <v>0</v>
      </c>
      <c r="H568" s="48">
        <v>99481.188181818186</v>
      </c>
      <c r="I568" s="50"/>
    </row>
    <row r="569" spans="1:9" x14ac:dyDescent="0.2">
      <c r="A569" s="40"/>
      <c r="B569" s="46"/>
      <c r="C569" s="43"/>
      <c r="D569" s="44"/>
      <c r="E569" s="43"/>
      <c r="F569" s="43"/>
      <c r="G569" s="48">
        <v>0</v>
      </c>
      <c r="H569" s="48">
        <v>99481.188181818186</v>
      </c>
      <c r="I569" s="50"/>
    </row>
    <row r="570" spans="1:9" x14ac:dyDescent="0.2">
      <c r="A570" s="40"/>
      <c r="B570" s="46"/>
      <c r="C570" s="43"/>
      <c r="D570" s="44"/>
      <c r="E570" s="43"/>
      <c r="F570" s="43"/>
      <c r="G570" s="48">
        <v>0</v>
      </c>
      <c r="H570" s="48">
        <v>99481.188181818186</v>
      </c>
      <c r="I570" s="50"/>
    </row>
    <row r="571" spans="1:9" x14ac:dyDescent="0.2">
      <c r="A571" s="40"/>
      <c r="B571" s="46"/>
      <c r="C571" s="43"/>
      <c r="D571" s="44"/>
      <c r="E571" s="43"/>
      <c r="F571" s="43"/>
      <c r="G571" s="48">
        <v>0</v>
      </c>
      <c r="H571" s="48">
        <v>99481.188181818201</v>
      </c>
      <c r="I571" s="50"/>
    </row>
    <row r="572" spans="1:9" x14ac:dyDescent="0.2">
      <c r="A572" s="40"/>
      <c r="B572" s="46"/>
      <c r="C572" s="43"/>
      <c r="D572" s="43"/>
      <c r="E572" s="43"/>
      <c r="F572" s="43"/>
      <c r="G572" s="48">
        <v>0</v>
      </c>
      <c r="H572" s="48">
        <v>99481.188181818201</v>
      </c>
      <c r="I572" s="50"/>
    </row>
    <row r="573" spans="1:9" x14ac:dyDescent="0.2">
      <c r="A573" s="40">
        <v>94</v>
      </c>
      <c r="B573" s="123" t="s">
        <v>29</v>
      </c>
      <c r="C573" s="124">
        <v>24173</v>
      </c>
      <c r="D573" s="128" t="s">
        <v>943</v>
      </c>
      <c r="E573" s="124" t="s">
        <v>657</v>
      </c>
      <c r="F573" s="124">
        <v>1</v>
      </c>
      <c r="G573" s="125">
        <v>76073.849545454548</v>
      </c>
      <c r="H573" s="125">
        <v>76073.849545454548</v>
      </c>
      <c r="I573" s="126">
        <v>228221.54863636364</v>
      </c>
    </row>
    <row r="574" spans="1:9" x14ac:dyDescent="0.2">
      <c r="A574" s="40"/>
      <c r="B574" s="123"/>
      <c r="C574" s="124"/>
      <c r="D574" s="128" t="s">
        <v>966</v>
      </c>
      <c r="E574" s="124" t="s">
        <v>657</v>
      </c>
      <c r="F574" s="124">
        <v>1</v>
      </c>
      <c r="G574" s="125">
        <v>76073.849545454548</v>
      </c>
      <c r="H574" s="125">
        <v>76073.849545454548</v>
      </c>
      <c r="I574" s="126"/>
    </row>
    <row r="575" spans="1:9" x14ac:dyDescent="0.2">
      <c r="A575" s="40"/>
      <c r="B575" s="123"/>
      <c r="C575" s="124"/>
      <c r="D575" s="128" t="s">
        <v>944</v>
      </c>
      <c r="E575" s="124" t="s">
        <v>658</v>
      </c>
      <c r="F575" s="124">
        <v>1</v>
      </c>
      <c r="G575" s="125">
        <v>76073.849545454548</v>
      </c>
      <c r="H575" s="125">
        <v>76073.849545454548</v>
      </c>
      <c r="I575" s="126"/>
    </row>
    <row r="576" spans="1:9" x14ac:dyDescent="0.2">
      <c r="A576" s="40"/>
      <c r="B576" s="46"/>
      <c r="C576" s="43"/>
      <c r="D576" s="44"/>
      <c r="E576" s="43"/>
      <c r="F576" s="43"/>
      <c r="G576" s="48">
        <v>0</v>
      </c>
      <c r="H576" s="48">
        <v>76073.849545454548</v>
      </c>
      <c r="I576" s="50"/>
    </row>
    <row r="577" spans="1:9" x14ac:dyDescent="0.2">
      <c r="A577" s="40"/>
      <c r="B577" s="46"/>
      <c r="C577" s="43"/>
      <c r="D577" s="44"/>
      <c r="E577" s="43"/>
      <c r="F577" s="43"/>
      <c r="G577" s="48">
        <v>0</v>
      </c>
      <c r="H577" s="48">
        <v>76073.849545454548</v>
      </c>
      <c r="I577" s="50"/>
    </row>
    <row r="578" spans="1:9" x14ac:dyDescent="0.2">
      <c r="A578" s="40">
        <v>95</v>
      </c>
      <c r="B578" s="46" t="s">
        <v>38</v>
      </c>
      <c r="C578" s="43">
        <v>24177</v>
      </c>
      <c r="D578" s="44"/>
      <c r="E578" s="43"/>
      <c r="F578" s="43"/>
      <c r="G578" s="48">
        <v>0</v>
      </c>
      <c r="H578" s="48">
        <v>99481.188181818186</v>
      </c>
      <c r="I578" s="50">
        <v>0</v>
      </c>
    </row>
    <row r="579" spans="1:9" x14ac:dyDescent="0.2">
      <c r="A579" s="40"/>
      <c r="B579" s="46"/>
      <c r="C579" s="43"/>
      <c r="D579" s="44"/>
      <c r="E579" s="43"/>
      <c r="F579" s="43"/>
      <c r="G579" s="48">
        <v>0</v>
      </c>
      <c r="H579" s="48">
        <v>99481.188181818201</v>
      </c>
      <c r="I579" s="50"/>
    </row>
    <row r="580" spans="1:9" x14ac:dyDescent="0.2">
      <c r="A580" s="40"/>
      <c r="B580" s="46"/>
      <c r="C580" s="43"/>
      <c r="D580" s="44"/>
      <c r="E580" s="43"/>
      <c r="F580" s="43"/>
      <c r="G580" s="48">
        <v>0</v>
      </c>
      <c r="H580" s="48">
        <v>99481.188181818201</v>
      </c>
      <c r="I580" s="50"/>
    </row>
    <row r="581" spans="1:9" x14ac:dyDescent="0.2">
      <c r="A581" s="40"/>
      <c r="B581" s="46"/>
      <c r="C581" s="43"/>
      <c r="D581" s="44"/>
      <c r="E581" s="43"/>
      <c r="F581" s="43"/>
      <c r="G581" s="48">
        <v>0</v>
      </c>
      <c r="H581" s="48">
        <v>99481.188181818186</v>
      </c>
      <c r="I581" s="50"/>
    </row>
    <row r="582" spans="1:9" x14ac:dyDescent="0.2">
      <c r="A582" s="40"/>
      <c r="B582" s="46"/>
      <c r="C582" s="43"/>
      <c r="D582" s="44"/>
      <c r="E582" s="43"/>
      <c r="F582" s="43"/>
      <c r="G582" s="48">
        <v>0</v>
      </c>
      <c r="H582" s="48">
        <v>99481.188181818186</v>
      </c>
      <c r="I582" s="50"/>
    </row>
    <row r="583" spans="1:9" x14ac:dyDescent="0.2">
      <c r="A583" s="40"/>
      <c r="B583" s="46"/>
      <c r="C583" s="43"/>
      <c r="D583" s="43"/>
      <c r="E583" s="43"/>
      <c r="F583" s="43"/>
      <c r="G583" s="48">
        <v>0</v>
      </c>
      <c r="H583" s="48">
        <v>99481.188181818186</v>
      </c>
      <c r="I583" s="50"/>
    </row>
    <row r="584" spans="1:9" x14ac:dyDescent="0.2">
      <c r="A584" s="40"/>
      <c r="B584" s="46"/>
      <c r="C584" s="43"/>
      <c r="D584" s="44"/>
      <c r="E584" s="43"/>
      <c r="F584" s="43"/>
      <c r="G584" s="48">
        <v>0</v>
      </c>
      <c r="H584" s="48">
        <v>99481.188181818186</v>
      </c>
      <c r="I584" s="50"/>
    </row>
    <row r="585" spans="1:9" x14ac:dyDescent="0.2">
      <c r="A585" s="40"/>
      <c r="B585" s="46"/>
      <c r="C585" s="43"/>
      <c r="D585" s="43"/>
      <c r="E585" s="43"/>
      <c r="F585" s="43"/>
      <c r="G585" s="48">
        <v>0</v>
      </c>
      <c r="H585" s="48">
        <v>99481.188181818186</v>
      </c>
      <c r="I585" s="50"/>
    </row>
    <row r="586" spans="1:9" x14ac:dyDescent="0.2">
      <c r="A586" s="40"/>
      <c r="B586" s="46"/>
      <c r="C586" s="43"/>
      <c r="D586" s="43"/>
      <c r="E586" s="43"/>
      <c r="F586" s="43"/>
      <c r="G586" s="48">
        <v>0</v>
      </c>
      <c r="H586" s="48">
        <v>99481.188181818186</v>
      </c>
      <c r="I586" s="50"/>
    </row>
    <row r="587" spans="1:9" x14ac:dyDescent="0.2">
      <c r="A587" s="40"/>
      <c r="B587" s="46"/>
      <c r="C587" s="43"/>
      <c r="D587" s="43"/>
      <c r="E587" s="43"/>
      <c r="F587" s="43"/>
      <c r="G587" s="48">
        <v>0</v>
      </c>
      <c r="H587" s="48">
        <v>99481.188181818186</v>
      </c>
      <c r="I587" s="50"/>
    </row>
    <row r="588" spans="1:9" x14ac:dyDescent="0.2">
      <c r="A588" s="40"/>
      <c r="B588" s="41"/>
      <c r="C588" s="47"/>
      <c r="D588" s="44"/>
      <c r="E588" s="43"/>
      <c r="F588" s="43"/>
      <c r="G588" s="48">
        <v>0</v>
      </c>
      <c r="H588" s="48">
        <v>99481.188181818186</v>
      </c>
      <c r="I588" s="50"/>
    </row>
    <row r="589" spans="1:9" x14ac:dyDescent="0.2">
      <c r="A589" s="40"/>
      <c r="B589" s="41"/>
      <c r="C589" s="47"/>
      <c r="D589" s="44"/>
      <c r="E589" s="43"/>
      <c r="F589" s="43"/>
      <c r="G589" s="48">
        <v>0</v>
      </c>
      <c r="H589" s="48">
        <v>99481.188181818186</v>
      </c>
      <c r="I589" s="50"/>
    </row>
    <row r="590" spans="1:9" x14ac:dyDescent="0.2">
      <c r="A590" s="40"/>
      <c r="B590" s="41"/>
      <c r="C590" s="47"/>
      <c r="D590" s="44"/>
      <c r="E590" s="43"/>
      <c r="F590" s="43"/>
      <c r="G590" s="48">
        <v>0</v>
      </c>
      <c r="H590" s="48">
        <v>99481.188181818186</v>
      </c>
      <c r="I590" s="50"/>
    </row>
    <row r="591" spans="1:9" x14ac:dyDescent="0.2">
      <c r="A591" s="40"/>
      <c r="B591" s="41"/>
      <c r="C591" s="47"/>
      <c r="D591" s="44"/>
      <c r="E591" s="43"/>
      <c r="F591" s="43"/>
      <c r="G591" s="48">
        <v>0</v>
      </c>
      <c r="H591" s="48">
        <v>99481.188181818186</v>
      </c>
      <c r="I591" s="50"/>
    </row>
    <row r="592" spans="1:9" x14ac:dyDescent="0.2">
      <c r="A592" s="40"/>
      <c r="B592" s="41"/>
      <c r="C592" s="47"/>
      <c r="D592" s="44"/>
      <c r="E592" s="43"/>
      <c r="F592" s="43"/>
      <c r="G592" s="48">
        <v>0</v>
      </c>
      <c r="H592" s="48">
        <v>99481.188181818186</v>
      </c>
      <c r="I592" s="50"/>
    </row>
    <row r="593" spans="1:9" x14ac:dyDescent="0.2">
      <c r="A593" s="40"/>
      <c r="B593" s="41"/>
      <c r="C593" s="47"/>
      <c r="D593" s="43"/>
      <c r="E593" s="43"/>
      <c r="F593" s="43"/>
      <c r="G593" s="48">
        <v>0</v>
      </c>
      <c r="H593" s="48">
        <v>99481.188181818186</v>
      </c>
      <c r="I593" s="50"/>
    </row>
    <row r="594" spans="1:9" x14ac:dyDescent="0.2">
      <c r="A594" s="40"/>
      <c r="B594" s="41"/>
      <c r="C594" s="47"/>
      <c r="D594" s="43"/>
      <c r="E594" s="43"/>
      <c r="F594" s="43"/>
      <c r="G594" s="48">
        <v>0</v>
      </c>
      <c r="H594" s="48">
        <v>99481.188181818186</v>
      </c>
      <c r="I594" s="50"/>
    </row>
    <row r="595" spans="1:9" x14ac:dyDescent="0.2">
      <c r="A595" s="40"/>
      <c r="B595" s="41"/>
      <c r="C595" s="47"/>
      <c r="D595" s="42"/>
      <c r="E595" s="43"/>
      <c r="F595" s="43"/>
      <c r="G595" s="48">
        <v>0</v>
      </c>
      <c r="H595" s="48">
        <v>99481.188181818186</v>
      </c>
      <c r="I595" s="50"/>
    </row>
    <row r="596" spans="1:9" x14ac:dyDescent="0.2">
      <c r="A596" s="40">
        <v>96</v>
      </c>
      <c r="B596" s="123" t="s">
        <v>40</v>
      </c>
      <c r="C596" s="124">
        <v>24178</v>
      </c>
      <c r="D596" s="128" t="s">
        <v>938</v>
      </c>
      <c r="E596" s="124" t="s">
        <v>657</v>
      </c>
      <c r="F596" s="124">
        <v>1</v>
      </c>
      <c r="G596" s="125">
        <v>67881.272727272721</v>
      </c>
      <c r="H596" s="125">
        <v>67881.272727272721</v>
      </c>
      <c r="I596" s="126">
        <v>271525.09090909082</v>
      </c>
    </row>
    <row r="597" spans="1:9" x14ac:dyDescent="0.2">
      <c r="A597" s="40"/>
      <c r="B597" s="123"/>
      <c r="C597" s="124"/>
      <c r="D597" s="128" t="s">
        <v>939</v>
      </c>
      <c r="E597" s="124" t="s">
        <v>657</v>
      </c>
      <c r="F597" s="124">
        <v>1</v>
      </c>
      <c r="G597" s="125">
        <v>67881.272727272706</v>
      </c>
      <c r="H597" s="125">
        <v>67881.272727272706</v>
      </c>
      <c r="I597" s="126"/>
    </row>
    <row r="598" spans="1:9" x14ac:dyDescent="0.2">
      <c r="A598" s="40"/>
      <c r="B598" s="123"/>
      <c r="C598" s="124"/>
      <c r="D598" s="128" t="s">
        <v>940</v>
      </c>
      <c r="E598" s="124" t="s">
        <v>657</v>
      </c>
      <c r="F598" s="124">
        <v>1</v>
      </c>
      <c r="G598" s="125">
        <v>67881.272727272706</v>
      </c>
      <c r="H598" s="125">
        <v>67881.272727272706</v>
      </c>
      <c r="I598" s="126"/>
    </row>
    <row r="599" spans="1:9" x14ac:dyDescent="0.2">
      <c r="A599" s="40"/>
      <c r="B599" s="123"/>
      <c r="C599" s="124"/>
      <c r="D599" s="128" t="s">
        <v>953</v>
      </c>
      <c r="E599" s="124" t="s">
        <v>657</v>
      </c>
      <c r="F599" s="124">
        <v>1</v>
      </c>
      <c r="G599" s="125">
        <v>67881.272727272706</v>
      </c>
      <c r="H599" s="125">
        <v>67881.272727272706</v>
      </c>
      <c r="I599" s="126"/>
    </row>
    <row r="600" spans="1:9" x14ac:dyDescent="0.2">
      <c r="A600" s="40"/>
      <c r="B600" s="46"/>
      <c r="C600" s="43"/>
      <c r="D600" s="44"/>
      <c r="E600" s="43"/>
      <c r="F600" s="43"/>
      <c r="G600" s="48">
        <v>0</v>
      </c>
      <c r="H600" s="48">
        <v>67881.272727272706</v>
      </c>
      <c r="I600" s="50"/>
    </row>
    <row r="601" spans="1:9" x14ac:dyDescent="0.2">
      <c r="A601" s="40"/>
      <c r="B601" s="46"/>
      <c r="C601" s="43"/>
      <c r="D601" s="43"/>
      <c r="E601" s="43"/>
      <c r="F601" s="43"/>
      <c r="G601" s="48">
        <v>0</v>
      </c>
      <c r="H601" s="48">
        <v>67881.272727272706</v>
      </c>
      <c r="I601" s="50"/>
    </row>
    <row r="602" spans="1:9" x14ac:dyDescent="0.2">
      <c r="A602" s="40"/>
      <c r="B602" s="46"/>
      <c r="C602" s="43"/>
      <c r="D602" s="44"/>
      <c r="E602" s="43"/>
      <c r="F602" s="43"/>
      <c r="G602" s="48">
        <v>0</v>
      </c>
      <c r="H602" s="48">
        <v>67881.272727272706</v>
      </c>
      <c r="I602" s="50"/>
    </row>
    <row r="603" spans="1:9" x14ac:dyDescent="0.2">
      <c r="A603" s="40">
        <v>97</v>
      </c>
      <c r="B603" s="46" t="s">
        <v>45</v>
      </c>
      <c r="C603" s="43">
        <v>24181</v>
      </c>
      <c r="D603" s="44"/>
      <c r="E603" s="43"/>
      <c r="F603" s="43"/>
      <c r="G603" s="48">
        <v>0</v>
      </c>
      <c r="H603" s="48">
        <v>93629.353636363638</v>
      </c>
      <c r="I603" s="50">
        <v>0</v>
      </c>
    </row>
    <row r="604" spans="1:9" x14ac:dyDescent="0.2">
      <c r="A604" s="40"/>
      <c r="B604" s="46"/>
      <c r="C604" s="43"/>
      <c r="D604" s="44"/>
      <c r="E604" s="43"/>
      <c r="F604" s="43"/>
      <c r="G604" s="48">
        <v>0</v>
      </c>
      <c r="H604" s="48">
        <v>93629.353636363594</v>
      </c>
      <c r="I604" s="50"/>
    </row>
    <row r="605" spans="1:9" x14ac:dyDescent="0.2">
      <c r="A605" s="40"/>
      <c r="B605" s="46"/>
      <c r="C605" s="43"/>
      <c r="D605" s="44"/>
      <c r="E605" s="43"/>
      <c r="F605" s="43"/>
      <c r="G605" s="48">
        <v>0</v>
      </c>
      <c r="H605" s="48">
        <v>93629.353636363594</v>
      </c>
      <c r="I605" s="50"/>
    </row>
    <row r="606" spans="1:9" x14ac:dyDescent="0.2">
      <c r="A606" s="40"/>
      <c r="B606" s="46"/>
      <c r="C606" s="43"/>
      <c r="D606" s="43"/>
      <c r="E606" s="43"/>
      <c r="F606" s="43"/>
      <c r="G606" s="48">
        <v>0</v>
      </c>
      <c r="H606" s="48">
        <v>93629.353636363594</v>
      </c>
      <c r="I606" s="50"/>
    </row>
    <row r="607" spans="1:9" x14ac:dyDescent="0.2">
      <c r="A607" s="40"/>
      <c r="B607" s="46"/>
      <c r="C607" s="43"/>
      <c r="D607" s="43"/>
      <c r="E607" s="43"/>
      <c r="F607" s="43"/>
      <c r="G607" s="48">
        <v>0</v>
      </c>
      <c r="H607" s="48">
        <v>93629.353636363594</v>
      </c>
      <c r="I607" s="50"/>
    </row>
    <row r="608" spans="1:9" x14ac:dyDescent="0.2">
      <c r="A608" s="40"/>
      <c r="B608" s="46"/>
      <c r="C608" s="47"/>
      <c r="D608" s="44"/>
      <c r="E608" s="43"/>
      <c r="F608" s="43"/>
      <c r="G608" s="48">
        <v>0</v>
      </c>
      <c r="H608" s="48">
        <v>93629.353636363594</v>
      </c>
      <c r="I608" s="50"/>
    </row>
    <row r="609" spans="1:9" x14ac:dyDescent="0.2">
      <c r="A609" s="40"/>
      <c r="B609" s="46"/>
      <c r="C609" s="47"/>
      <c r="D609" s="44"/>
      <c r="E609" s="43"/>
      <c r="F609" s="43"/>
      <c r="G609" s="48">
        <v>0</v>
      </c>
      <c r="H609" s="48">
        <v>93629.353636363594</v>
      </c>
      <c r="I609" s="50"/>
    </row>
    <row r="610" spans="1:9" x14ac:dyDescent="0.2">
      <c r="A610" s="40"/>
      <c r="B610" s="46"/>
      <c r="C610" s="47"/>
      <c r="D610" s="44"/>
      <c r="E610" s="43"/>
      <c r="F610" s="43"/>
      <c r="G610" s="48">
        <v>0</v>
      </c>
      <c r="H610" s="48">
        <v>93629.353636363594</v>
      </c>
      <c r="I610" s="50"/>
    </row>
    <row r="611" spans="1:9" x14ac:dyDescent="0.2">
      <c r="A611" s="40"/>
      <c r="B611" s="46"/>
      <c r="C611" s="47"/>
      <c r="D611" s="44"/>
      <c r="E611" s="43"/>
      <c r="F611" s="43"/>
      <c r="G611" s="48">
        <v>0</v>
      </c>
      <c r="H611" s="48">
        <v>93629.353636363594</v>
      </c>
      <c r="I611" s="50"/>
    </row>
    <row r="612" spans="1:9" x14ac:dyDescent="0.2">
      <c r="A612" s="40">
        <v>98</v>
      </c>
      <c r="B612" s="123" t="s">
        <v>47</v>
      </c>
      <c r="C612" s="127">
        <v>24182</v>
      </c>
      <c r="D612" s="128" t="s">
        <v>950</v>
      </c>
      <c r="E612" s="124" t="s">
        <v>662</v>
      </c>
      <c r="F612" s="124">
        <v>0.79375000000000018</v>
      </c>
      <c r="G612" s="125">
        <v>65028.511747159107</v>
      </c>
      <c r="H612" s="125">
        <v>81925.684090909097</v>
      </c>
      <c r="I612" s="126">
        <v>185664.08157102275</v>
      </c>
    </row>
    <row r="613" spans="1:9" x14ac:dyDescent="0.2">
      <c r="A613" s="40"/>
      <c r="B613" s="123"/>
      <c r="C613" s="127"/>
      <c r="D613" s="128" t="s">
        <v>942</v>
      </c>
      <c r="E613" s="124" t="s">
        <v>662</v>
      </c>
      <c r="F613" s="124">
        <v>0.67375000000000007</v>
      </c>
      <c r="G613" s="125">
        <v>55197.429656250009</v>
      </c>
      <c r="H613" s="125">
        <v>81925.684090909097</v>
      </c>
      <c r="I613" s="126"/>
    </row>
    <row r="614" spans="1:9" x14ac:dyDescent="0.2">
      <c r="A614" s="40"/>
      <c r="B614" s="123"/>
      <c r="C614" s="127"/>
      <c r="D614" s="124" t="s">
        <v>945</v>
      </c>
      <c r="E614" s="124" t="s">
        <v>662</v>
      </c>
      <c r="F614" s="124">
        <v>0.29749999999999988</v>
      </c>
      <c r="G614" s="125">
        <v>24372.891017045447</v>
      </c>
      <c r="H614" s="125">
        <v>81925.684090909097</v>
      </c>
      <c r="I614" s="126"/>
    </row>
    <row r="615" spans="1:9" x14ac:dyDescent="0.2">
      <c r="A615" s="40"/>
      <c r="B615" s="123"/>
      <c r="C615" s="127"/>
      <c r="D615" s="124" t="s">
        <v>946</v>
      </c>
      <c r="E615" s="124" t="s">
        <v>662</v>
      </c>
      <c r="F615" s="124">
        <v>0.5012500000000002</v>
      </c>
      <c r="G615" s="125">
        <v>41065.249150568197</v>
      </c>
      <c r="H615" s="125">
        <v>81925.684090909097</v>
      </c>
      <c r="I615" s="126"/>
    </row>
    <row r="616" spans="1:9" x14ac:dyDescent="0.2">
      <c r="A616" s="40"/>
      <c r="B616" s="46"/>
      <c r="C616" s="47"/>
      <c r="D616" s="43"/>
      <c r="E616" s="43"/>
      <c r="F616" s="43"/>
      <c r="G616" s="48">
        <v>0</v>
      </c>
      <c r="H616" s="48">
        <v>81925.684090909097</v>
      </c>
      <c r="I616" s="50"/>
    </row>
    <row r="617" spans="1:9" x14ac:dyDescent="0.2">
      <c r="A617" s="40"/>
      <c r="B617" s="46"/>
      <c r="C617" s="47"/>
      <c r="D617" s="44"/>
      <c r="E617" s="43"/>
      <c r="F617" s="43"/>
      <c r="G617" s="48">
        <v>0</v>
      </c>
      <c r="H617" s="48">
        <v>81925.684090909097</v>
      </c>
      <c r="I617" s="50"/>
    </row>
    <row r="618" spans="1:9" x14ac:dyDescent="0.2">
      <c r="A618" s="40"/>
      <c r="B618" s="46"/>
      <c r="C618" s="47"/>
      <c r="D618" s="44"/>
      <c r="E618" s="43"/>
      <c r="F618" s="43"/>
      <c r="G618" s="48">
        <v>0</v>
      </c>
      <c r="H618" s="48">
        <v>81925.684090909097</v>
      </c>
      <c r="I618" s="50"/>
    </row>
    <row r="619" spans="1:9" x14ac:dyDescent="0.2">
      <c r="A619" s="40"/>
      <c r="B619" s="46"/>
      <c r="C619" s="47"/>
      <c r="D619" s="43"/>
      <c r="E619" s="43"/>
      <c r="F619" s="43"/>
      <c r="G619" s="48">
        <v>0</v>
      </c>
      <c r="H619" s="48">
        <v>81925.684090909097</v>
      </c>
      <c r="I619" s="50"/>
    </row>
    <row r="620" spans="1:9" x14ac:dyDescent="0.2">
      <c r="A620" s="40"/>
      <c r="B620" s="46"/>
      <c r="C620" s="47"/>
      <c r="D620" s="43"/>
      <c r="E620" s="43"/>
      <c r="F620" s="43"/>
      <c r="G620" s="48">
        <v>0</v>
      </c>
      <c r="H620" s="48">
        <v>81925.684090909097</v>
      </c>
      <c r="I620" s="50"/>
    </row>
    <row r="621" spans="1:9" x14ac:dyDescent="0.2">
      <c r="A621" s="40"/>
      <c r="B621" s="46"/>
      <c r="C621" s="43"/>
      <c r="D621" s="44"/>
      <c r="E621" s="43"/>
      <c r="F621" s="43"/>
      <c r="G621" s="48">
        <v>0</v>
      </c>
      <c r="H621" s="48">
        <v>81925.684090909097</v>
      </c>
      <c r="I621" s="50"/>
    </row>
    <row r="622" spans="1:9" x14ac:dyDescent="0.2">
      <c r="A622" s="40"/>
      <c r="B622" s="46"/>
      <c r="C622" s="43"/>
      <c r="D622" s="44"/>
      <c r="E622" s="43"/>
      <c r="F622" s="43"/>
      <c r="G622" s="48">
        <v>0</v>
      </c>
      <c r="H622" s="48">
        <v>81925.684090909097</v>
      </c>
      <c r="I622" s="50"/>
    </row>
    <row r="623" spans="1:9" x14ac:dyDescent="0.2">
      <c r="A623" s="40"/>
      <c r="B623" s="46"/>
      <c r="C623" s="43"/>
      <c r="D623" s="44"/>
      <c r="E623" s="43"/>
      <c r="F623" s="43"/>
      <c r="G623" s="48">
        <v>0</v>
      </c>
      <c r="H623" s="48">
        <v>81925.684090909097</v>
      </c>
      <c r="I623" s="50"/>
    </row>
    <row r="624" spans="1:9" x14ac:dyDescent="0.2">
      <c r="A624" s="40">
        <v>99</v>
      </c>
      <c r="B624" s="123" t="s">
        <v>51</v>
      </c>
      <c r="C624" s="124">
        <v>24185</v>
      </c>
      <c r="D624" s="128" t="s">
        <v>950</v>
      </c>
      <c r="E624" s="124" t="s">
        <v>662</v>
      </c>
      <c r="F624" s="124">
        <v>0.63375000000000004</v>
      </c>
      <c r="G624" s="125">
        <v>48211.802149431824</v>
      </c>
      <c r="H624" s="125">
        <v>76073.849545454548</v>
      </c>
      <c r="I624" s="126">
        <v>171831.80766079546</v>
      </c>
    </row>
    <row r="625" spans="1:9" x14ac:dyDescent="0.2">
      <c r="A625" s="40"/>
      <c r="B625" s="123"/>
      <c r="C625" s="124"/>
      <c r="D625" s="128" t="s">
        <v>944</v>
      </c>
      <c r="E625" s="124" t="s">
        <v>657</v>
      </c>
      <c r="F625" s="124">
        <v>1</v>
      </c>
      <c r="G625" s="125">
        <v>76073.849545454548</v>
      </c>
      <c r="H625" s="125">
        <v>76073.849545454548</v>
      </c>
      <c r="I625" s="126"/>
    </row>
    <row r="626" spans="1:9" x14ac:dyDescent="0.2">
      <c r="A626" s="40"/>
      <c r="B626" s="123"/>
      <c r="C626" s="124"/>
      <c r="D626" s="128" t="s">
        <v>958</v>
      </c>
      <c r="E626" s="124" t="s">
        <v>662</v>
      </c>
      <c r="F626" s="124">
        <v>0.625</v>
      </c>
      <c r="G626" s="125">
        <v>47546.155965909093</v>
      </c>
      <c r="H626" s="125">
        <v>76073.849545454548</v>
      </c>
      <c r="I626" s="126"/>
    </row>
    <row r="627" spans="1:9" x14ac:dyDescent="0.2">
      <c r="A627" s="40"/>
      <c r="B627" s="46"/>
      <c r="C627" s="43"/>
      <c r="D627" s="44"/>
      <c r="E627" s="43"/>
      <c r="F627" s="43"/>
      <c r="G627" s="48">
        <v>0</v>
      </c>
      <c r="H627" s="48">
        <v>76073.849545454548</v>
      </c>
      <c r="I627" s="50"/>
    </row>
    <row r="628" spans="1:9" x14ac:dyDescent="0.2">
      <c r="A628" s="40"/>
      <c r="B628" s="46"/>
      <c r="C628" s="43"/>
      <c r="D628" s="43"/>
      <c r="E628" s="43"/>
      <c r="F628" s="43"/>
      <c r="G628" s="48">
        <v>0</v>
      </c>
      <c r="H628" s="48">
        <v>76073.849545454548</v>
      </c>
      <c r="I628" s="50"/>
    </row>
    <row r="629" spans="1:9" x14ac:dyDescent="0.2">
      <c r="A629" s="40"/>
      <c r="B629" s="46"/>
      <c r="C629" s="43"/>
      <c r="D629" s="43"/>
      <c r="E629" s="43"/>
      <c r="F629" s="43"/>
      <c r="G629" s="48">
        <v>0</v>
      </c>
      <c r="H629" s="48">
        <v>76073.849545454548</v>
      </c>
      <c r="I629" s="50"/>
    </row>
    <row r="630" spans="1:9" x14ac:dyDescent="0.2">
      <c r="A630" s="40"/>
      <c r="B630" s="46"/>
      <c r="C630" s="43"/>
      <c r="D630" s="43"/>
      <c r="E630" s="43"/>
      <c r="F630" s="43"/>
      <c r="G630" s="48">
        <v>0</v>
      </c>
      <c r="H630" s="48">
        <v>76073.849545454548</v>
      </c>
      <c r="I630" s="50"/>
    </row>
    <row r="631" spans="1:9" x14ac:dyDescent="0.2">
      <c r="A631" s="40"/>
      <c r="B631" s="46"/>
      <c r="C631" s="43"/>
      <c r="D631" s="43"/>
      <c r="E631" s="43"/>
      <c r="F631" s="43"/>
      <c r="G631" s="48">
        <v>0</v>
      </c>
      <c r="H631" s="48">
        <v>76073.849545454548</v>
      </c>
      <c r="I631" s="50"/>
    </row>
    <row r="632" spans="1:9" x14ac:dyDescent="0.2">
      <c r="A632" s="40">
        <v>100</v>
      </c>
      <c r="B632" s="123" t="s">
        <v>49</v>
      </c>
      <c r="C632" s="124">
        <v>24187</v>
      </c>
      <c r="D632" s="128" t="s">
        <v>966</v>
      </c>
      <c r="E632" s="124" t="s">
        <v>662</v>
      </c>
      <c r="F632" s="124">
        <v>1</v>
      </c>
      <c r="G632" s="125">
        <v>67881.272727272721</v>
      </c>
      <c r="H632" s="125">
        <v>67881.272727272721</v>
      </c>
      <c r="I632" s="126">
        <v>203643.81818181812</v>
      </c>
    </row>
    <row r="633" spans="1:9" x14ac:dyDescent="0.2">
      <c r="A633" s="40"/>
      <c r="B633" s="123"/>
      <c r="C633" s="124"/>
      <c r="D633" s="124" t="s">
        <v>938</v>
      </c>
      <c r="E633" s="124" t="s">
        <v>658</v>
      </c>
      <c r="F633" s="124">
        <v>1</v>
      </c>
      <c r="G633" s="125">
        <v>67881.272727272706</v>
      </c>
      <c r="H633" s="125">
        <v>67881.272727272706</v>
      </c>
      <c r="I633" s="126"/>
    </row>
    <row r="634" spans="1:9" x14ac:dyDescent="0.2">
      <c r="A634" s="40"/>
      <c r="B634" s="123"/>
      <c r="C634" s="124"/>
      <c r="D634" s="124" t="s">
        <v>951</v>
      </c>
      <c r="E634" s="124" t="s">
        <v>658</v>
      </c>
      <c r="F634" s="124">
        <v>1</v>
      </c>
      <c r="G634" s="125">
        <v>67881.272727272706</v>
      </c>
      <c r="H634" s="125">
        <v>67881.272727272706</v>
      </c>
      <c r="I634" s="126"/>
    </row>
    <row r="635" spans="1:9" x14ac:dyDescent="0.2">
      <c r="A635" s="40">
        <v>101</v>
      </c>
      <c r="B635" s="123" t="s">
        <v>53</v>
      </c>
      <c r="C635" s="124">
        <v>24187</v>
      </c>
      <c r="D635" s="128" t="s">
        <v>958</v>
      </c>
      <c r="E635" s="124" t="s">
        <v>658</v>
      </c>
      <c r="F635" s="124">
        <v>1</v>
      </c>
      <c r="G635" s="125">
        <v>76073.849545454548</v>
      </c>
      <c r="H635" s="125">
        <v>76073.849545454548</v>
      </c>
      <c r="I635" s="126">
        <v>152147.69909090904</v>
      </c>
    </row>
    <row r="636" spans="1:9" x14ac:dyDescent="0.2">
      <c r="A636" s="40"/>
      <c r="B636" s="123"/>
      <c r="C636" s="124"/>
      <c r="D636" s="128" t="s">
        <v>840</v>
      </c>
      <c r="E636" s="124" t="s">
        <v>658</v>
      </c>
      <c r="F636" s="124">
        <v>1</v>
      </c>
      <c r="G636" s="125">
        <v>76073.849545454505</v>
      </c>
      <c r="H636" s="125">
        <v>76073.849545454505</v>
      </c>
      <c r="I636" s="126"/>
    </row>
    <row r="637" spans="1:9" x14ac:dyDescent="0.2">
      <c r="A637" s="40">
        <v>102</v>
      </c>
      <c r="B637" s="123" t="s">
        <v>55</v>
      </c>
      <c r="C637" s="124">
        <v>24188</v>
      </c>
      <c r="D637" s="128" t="s">
        <v>953</v>
      </c>
      <c r="E637" s="124" t="s">
        <v>658</v>
      </c>
      <c r="F637" s="124">
        <v>1</v>
      </c>
      <c r="G637" s="125">
        <v>76073.849545454548</v>
      </c>
      <c r="H637" s="125">
        <v>76073.849545454548</v>
      </c>
      <c r="I637" s="126">
        <v>152147.69909090904</v>
      </c>
    </row>
    <row r="638" spans="1:9" x14ac:dyDescent="0.2">
      <c r="A638" s="40"/>
      <c r="B638" s="123"/>
      <c r="C638" s="124"/>
      <c r="D638" s="130" t="s">
        <v>839</v>
      </c>
      <c r="E638" s="124" t="s">
        <v>657</v>
      </c>
      <c r="F638" s="124">
        <v>1</v>
      </c>
      <c r="G638" s="125">
        <v>76073.849545454505</v>
      </c>
      <c r="H638" s="125">
        <v>76073.849545454505</v>
      </c>
      <c r="I638" s="126"/>
    </row>
    <row r="639" spans="1:9" x14ac:dyDescent="0.2">
      <c r="A639" s="40">
        <v>103</v>
      </c>
      <c r="B639" s="123" t="s">
        <v>59</v>
      </c>
      <c r="C639" s="124">
        <v>24190</v>
      </c>
      <c r="D639" s="128" t="s">
        <v>941</v>
      </c>
      <c r="E639" s="124" t="s">
        <v>658</v>
      </c>
      <c r="F639" s="124">
        <v>1</v>
      </c>
      <c r="G639" s="125">
        <v>93629.353636363638</v>
      </c>
      <c r="H639" s="125">
        <v>93629.353636363638</v>
      </c>
      <c r="I639" s="126">
        <v>93629.353636363638</v>
      </c>
    </row>
    <row r="640" spans="1:9" x14ac:dyDescent="0.2">
      <c r="A640" s="40"/>
      <c r="B640" s="46"/>
      <c r="C640" s="43"/>
      <c r="D640" s="44"/>
      <c r="E640" s="43"/>
      <c r="F640" s="43"/>
      <c r="G640" s="48">
        <v>0</v>
      </c>
      <c r="H640" s="48">
        <v>93629.353636363594</v>
      </c>
      <c r="I640" s="50"/>
    </row>
    <row r="641" spans="1:9" x14ac:dyDescent="0.2">
      <c r="A641" s="40"/>
      <c r="B641" s="46"/>
      <c r="C641" s="43"/>
      <c r="D641" s="44"/>
      <c r="E641" s="43"/>
      <c r="F641" s="43"/>
      <c r="G641" s="48">
        <v>0</v>
      </c>
      <c r="H641" s="48">
        <v>93629.353636363594</v>
      </c>
      <c r="I641" s="50"/>
    </row>
    <row r="642" spans="1:9" x14ac:dyDescent="0.2">
      <c r="A642" s="40">
        <v>104</v>
      </c>
      <c r="B642" s="46" t="s">
        <v>61</v>
      </c>
      <c r="C642" s="43">
        <v>24196</v>
      </c>
      <c r="D642" s="43"/>
      <c r="E642" s="43"/>
      <c r="F642" s="43"/>
      <c r="G642" s="48">
        <v>0</v>
      </c>
      <c r="H642" s="48">
        <v>93629.353636363638</v>
      </c>
      <c r="I642" s="50">
        <v>0</v>
      </c>
    </row>
    <row r="643" spans="1:9" x14ac:dyDescent="0.2">
      <c r="A643" s="40"/>
      <c r="B643" s="46"/>
      <c r="C643" s="43"/>
      <c r="D643" s="43"/>
      <c r="E643" s="43"/>
      <c r="F643" s="43"/>
      <c r="G643" s="48">
        <v>0</v>
      </c>
      <c r="H643" s="48">
        <v>93629.353636363638</v>
      </c>
      <c r="I643" s="50"/>
    </row>
    <row r="644" spans="1:9" x14ac:dyDescent="0.2">
      <c r="A644" s="40">
        <v>105</v>
      </c>
      <c r="B644" s="46" t="s">
        <v>318</v>
      </c>
      <c r="C644" s="43">
        <v>24197</v>
      </c>
      <c r="D644" s="44"/>
      <c r="E644" s="43"/>
      <c r="F644" s="43"/>
      <c r="G644" s="48">
        <v>0</v>
      </c>
      <c r="H644" s="48">
        <v>99481.188181818186</v>
      </c>
      <c r="I644" s="50">
        <v>0</v>
      </c>
    </row>
    <row r="645" spans="1:9" x14ac:dyDescent="0.2">
      <c r="A645" s="40"/>
      <c r="B645" s="46"/>
      <c r="C645" s="43"/>
      <c r="D645" s="44"/>
      <c r="E645" s="43"/>
      <c r="F645" s="43"/>
      <c r="G645" s="48">
        <v>0</v>
      </c>
      <c r="H645" s="48">
        <v>99481.188181818201</v>
      </c>
      <c r="I645" s="50"/>
    </row>
    <row r="646" spans="1:9" x14ac:dyDescent="0.2">
      <c r="A646" s="40">
        <v>106</v>
      </c>
      <c r="B646" s="123" t="s">
        <v>44</v>
      </c>
      <c r="C646" s="124">
        <v>24180</v>
      </c>
      <c r="D646" s="128" t="s">
        <v>938</v>
      </c>
      <c r="E646" s="124" t="s">
        <v>657</v>
      </c>
      <c r="F646" s="124">
        <v>1</v>
      </c>
      <c r="G646" s="125">
        <v>67881.281363636357</v>
      </c>
      <c r="H646" s="125">
        <v>67881.281363636357</v>
      </c>
      <c r="I646" s="126">
        <v>271525.12545454543</v>
      </c>
    </row>
    <row r="647" spans="1:9" x14ac:dyDescent="0.2">
      <c r="A647" s="40"/>
      <c r="B647" s="123"/>
      <c r="C647" s="124"/>
      <c r="D647" s="128" t="s">
        <v>954</v>
      </c>
      <c r="E647" s="124" t="s">
        <v>657</v>
      </c>
      <c r="F647" s="124">
        <v>1</v>
      </c>
      <c r="G647" s="125">
        <v>67881.281363636357</v>
      </c>
      <c r="H647" s="125">
        <v>67881.281363636357</v>
      </c>
      <c r="I647" s="126"/>
    </row>
    <row r="648" spans="1:9" x14ac:dyDescent="0.2">
      <c r="A648" s="40"/>
      <c r="B648" s="123"/>
      <c r="C648" s="124"/>
      <c r="D648" s="128" t="s">
        <v>940</v>
      </c>
      <c r="E648" s="124" t="s">
        <v>657</v>
      </c>
      <c r="F648" s="124">
        <v>1</v>
      </c>
      <c r="G648" s="125">
        <v>67881.281363636357</v>
      </c>
      <c r="H648" s="125">
        <v>67881.281363636357</v>
      </c>
      <c r="I648" s="126"/>
    </row>
    <row r="649" spans="1:9" x14ac:dyDescent="0.2">
      <c r="A649" s="40"/>
      <c r="B649" s="123"/>
      <c r="C649" s="124"/>
      <c r="D649" s="128" t="s">
        <v>953</v>
      </c>
      <c r="E649" s="124" t="s">
        <v>657</v>
      </c>
      <c r="F649" s="124">
        <v>1</v>
      </c>
      <c r="G649" s="125">
        <v>67881.281363636357</v>
      </c>
      <c r="H649" s="125">
        <v>67881.281363636357</v>
      </c>
      <c r="I649" s="126"/>
    </row>
    <row r="650" spans="1:9" x14ac:dyDescent="0.2">
      <c r="A650" s="40"/>
      <c r="B650" s="46"/>
      <c r="C650" s="43"/>
      <c r="D650" s="44"/>
      <c r="E650" s="43"/>
      <c r="F650" s="43"/>
      <c r="G650" s="48">
        <v>0</v>
      </c>
      <c r="H650" s="48">
        <v>67881.281363636357</v>
      </c>
      <c r="I650" s="50"/>
    </row>
    <row r="651" spans="1:9" x14ac:dyDescent="0.2">
      <c r="A651" s="40">
        <v>107</v>
      </c>
      <c r="B651" s="123" t="s">
        <v>319</v>
      </c>
      <c r="C651" s="124">
        <v>24198</v>
      </c>
      <c r="D651" s="128" t="s">
        <v>957</v>
      </c>
      <c r="E651" s="124" t="s">
        <v>662</v>
      </c>
      <c r="F651" s="124">
        <v>0.625</v>
      </c>
      <c r="G651" s="125">
        <v>51203.552556818184</v>
      </c>
      <c r="H651" s="125">
        <v>81925.684090909097</v>
      </c>
      <c r="I651" s="126">
        <v>105479.31826704547</v>
      </c>
    </row>
    <row r="652" spans="1:9" x14ac:dyDescent="0.2">
      <c r="A652" s="40"/>
      <c r="B652" s="123"/>
      <c r="C652" s="124"/>
      <c r="D652" s="128" t="s">
        <v>966</v>
      </c>
      <c r="E652" s="124" t="s">
        <v>662</v>
      </c>
      <c r="F652" s="124">
        <v>0.66250000000000009</v>
      </c>
      <c r="G652" s="125">
        <v>54275.765710227286</v>
      </c>
      <c r="H652" s="125">
        <v>81925.684090909097</v>
      </c>
      <c r="I652" s="126"/>
    </row>
    <row r="653" spans="1:9" x14ac:dyDescent="0.2">
      <c r="A653" s="40"/>
      <c r="B653" s="46"/>
      <c r="C653" s="43"/>
      <c r="D653" s="44"/>
      <c r="E653" s="43"/>
      <c r="F653" s="43"/>
      <c r="G653" s="48">
        <v>0</v>
      </c>
      <c r="H653" s="48">
        <v>81925.684090909097</v>
      </c>
      <c r="I653" s="50"/>
    </row>
    <row r="654" spans="1:9" x14ac:dyDescent="0.2">
      <c r="A654" s="40"/>
      <c r="B654" s="46"/>
      <c r="C654" s="43"/>
      <c r="D654" s="44"/>
      <c r="E654" s="43"/>
      <c r="F654" s="43"/>
      <c r="G654" s="48">
        <v>0</v>
      </c>
      <c r="H654" s="48">
        <v>81925.684090909097</v>
      </c>
      <c r="I654" s="50"/>
    </row>
    <row r="655" spans="1:9" x14ac:dyDescent="0.2">
      <c r="A655" s="40"/>
      <c r="B655" s="46"/>
      <c r="C655" s="43"/>
      <c r="D655" s="43"/>
      <c r="E655" s="43"/>
      <c r="F655" s="43"/>
      <c r="G655" s="48">
        <v>0</v>
      </c>
      <c r="H655" s="48">
        <v>81925.684090909097</v>
      </c>
      <c r="I655" s="50"/>
    </row>
    <row r="656" spans="1:9" x14ac:dyDescent="0.2">
      <c r="A656" s="40"/>
      <c r="B656" s="46"/>
      <c r="C656" s="43"/>
      <c r="D656" s="44"/>
      <c r="E656" s="43"/>
      <c r="F656" s="43"/>
      <c r="G656" s="48">
        <v>0</v>
      </c>
      <c r="H656" s="48">
        <v>81925.684090909097</v>
      </c>
      <c r="I656" s="50"/>
    </row>
    <row r="657" spans="1:9" x14ac:dyDescent="0.2">
      <c r="A657" s="40">
        <v>108</v>
      </c>
      <c r="B657" s="123" t="s">
        <v>320</v>
      </c>
      <c r="C657" s="124">
        <v>24199</v>
      </c>
      <c r="D657" s="128" t="s">
        <v>957</v>
      </c>
      <c r="E657" s="124" t="s">
        <v>662</v>
      </c>
      <c r="F657" s="124">
        <v>1</v>
      </c>
      <c r="G657" s="125">
        <v>76073.849545454548</v>
      </c>
      <c r="H657" s="125">
        <v>76073.849545454548</v>
      </c>
      <c r="I657" s="126">
        <v>152147.69909090904</v>
      </c>
    </row>
    <row r="658" spans="1:9" x14ac:dyDescent="0.2">
      <c r="A658" s="40"/>
      <c r="B658" s="123"/>
      <c r="C658" s="124"/>
      <c r="D658" s="128" t="s">
        <v>949</v>
      </c>
      <c r="E658" s="124" t="s">
        <v>657</v>
      </c>
      <c r="F658" s="124">
        <v>1</v>
      </c>
      <c r="G658" s="125">
        <v>76073.849545454505</v>
      </c>
      <c r="H658" s="125">
        <v>76073.849545454505</v>
      </c>
      <c r="I658" s="126"/>
    </row>
    <row r="659" spans="1:9" x14ac:dyDescent="0.2">
      <c r="A659" s="40"/>
      <c r="B659" s="46"/>
      <c r="C659" s="43"/>
      <c r="D659" s="44"/>
      <c r="E659" s="43"/>
      <c r="F659" s="43"/>
      <c r="G659" s="48">
        <v>0</v>
      </c>
      <c r="H659" s="48">
        <v>76073.849545454505</v>
      </c>
      <c r="I659" s="50"/>
    </row>
    <row r="660" spans="1:9" x14ac:dyDescent="0.2">
      <c r="A660" s="40"/>
      <c r="B660" s="46"/>
      <c r="C660" s="43"/>
      <c r="D660" s="44"/>
      <c r="E660" s="43"/>
      <c r="F660" s="43"/>
      <c r="G660" s="48">
        <v>0</v>
      </c>
      <c r="H660" s="48">
        <v>76073.849545454505</v>
      </c>
      <c r="I660" s="50"/>
    </row>
    <row r="661" spans="1:9" x14ac:dyDescent="0.2">
      <c r="A661" s="40"/>
      <c r="B661" s="46"/>
      <c r="C661" s="43"/>
      <c r="D661" s="44"/>
      <c r="E661" s="43"/>
      <c r="F661" s="43"/>
      <c r="G661" s="48">
        <v>0</v>
      </c>
      <c r="H661" s="48">
        <v>76073.849545454505</v>
      </c>
      <c r="I661" s="50"/>
    </row>
    <row r="662" spans="1:9" x14ac:dyDescent="0.2">
      <c r="A662" s="40"/>
      <c r="B662" s="46"/>
      <c r="C662" s="43"/>
      <c r="D662" s="44"/>
      <c r="E662" s="43"/>
      <c r="F662" s="43"/>
      <c r="G662" s="48">
        <v>0</v>
      </c>
      <c r="H662" s="48">
        <v>76073.849545454505</v>
      </c>
      <c r="I662" s="50"/>
    </row>
    <row r="663" spans="1:9" x14ac:dyDescent="0.2">
      <c r="A663" s="40"/>
      <c r="B663" s="43"/>
      <c r="C663" s="43"/>
      <c r="D663" s="44"/>
      <c r="E663" s="43"/>
      <c r="F663" s="43"/>
      <c r="G663" s="48">
        <v>0</v>
      </c>
      <c r="H663" s="48">
        <v>76073.849545454505</v>
      </c>
      <c r="I663" s="50"/>
    </row>
    <row r="664" spans="1:9" x14ac:dyDescent="0.2">
      <c r="A664" s="40"/>
      <c r="B664" s="119"/>
      <c r="C664" s="43"/>
      <c r="D664" s="43"/>
      <c r="E664" s="43"/>
      <c r="F664" s="43"/>
      <c r="G664" s="48">
        <v>0</v>
      </c>
      <c r="H664" s="48">
        <v>76073.849545454505</v>
      </c>
      <c r="I664" s="50"/>
    </row>
    <row r="665" spans="1:9" x14ac:dyDescent="0.2">
      <c r="A665" s="40">
        <v>109</v>
      </c>
      <c r="B665" s="124" t="s">
        <v>321</v>
      </c>
      <c r="C665" s="124">
        <v>24200</v>
      </c>
      <c r="D665" s="124" t="s">
        <v>943</v>
      </c>
      <c r="E665" s="124" t="s">
        <v>662</v>
      </c>
      <c r="F665" s="124">
        <v>1</v>
      </c>
      <c r="G665" s="125">
        <v>67881.272727272721</v>
      </c>
      <c r="H665" s="125">
        <v>67881.272727272721</v>
      </c>
      <c r="I665" s="126">
        <v>339406.36363636353</v>
      </c>
    </row>
    <row r="666" spans="1:9" x14ac:dyDescent="0.2">
      <c r="A666" s="40"/>
      <c r="B666" s="123"/>
      <c r="C666" s="124"/>
      <c r="D666" s="130" t="s">
        <v>948</v>
      </c>
      <c r="E666" s="124" t="s">
        <v>662</v>
      </c>
      <c r="F666" s="124">
        <v>1</v>
      </c>
      <c r="G666" s="125">
        <v>67881.272727272706</v>
      </c>
      <c r="H666" s="125">
        <v>67881.272727272706</v>
      </c>
      <c r="I666" s="126"/>
    </row>
    <row r="667" spans="1:9" x14ac:dyDescent="0.2">
      <c r="A667" s="40"/>
      <c r="B667" s="123"/>
      <c r="C667" s="124"/>
      <c r="D667" s="128" t="s">
        <v>965</v>
      </c>
      <c r="E667" s="124" t="s">
        <v>662</v>
      </c>
      <c r="F667" s="124">
        <v>1</v>
      </c>
      <c r="G667" s="125">
        <v>67881.272727272706</v>
      </c>
      <c r="H667" s="125">
        <v>67881.272727272706</v>
      </c>
      <c r="I667" s="126"/>
    </row>
    <row r="668" spans="1:9" x14ac:dyDescent="0.2">
      <c r="A668" s="40"/>
      <c r="B668" s="123"/>
      <c r="C668" s="124"/>
      <c r="D668" s="128" t="s">
        <v>950</v>
      </c>
      <c r="E668" s="124" t="s">
        <v>658</v>
      </c>
      <c r="F668" s="124">
        <v>1</v>
      </c>
      <c r="G668" s="125">
        <v>67881.272727272706</v>
      </c>
      <c r="H668" s="125">
        <v>67881.272727272706</v>
      </c>
      <c r="I668" s="126"/>
    </row>
    <row r="669" spans="1:9" x14ac:dyDescent="0.2">
      <c r="A669" s="40"/>
      <c r="B669" s="123"/>
      <c r="C669" s="124"/>
      <c r="D669" s="128" t="s">
        <v>941</v>
      </c>
      <c r="E669" s="124" t="s">
        <v>658</v>
      </c>
      <c r="F669" s="124">
        <v>1</v>
      </c>
      <c r="G669" s="125">
        <v>67881.272727272721</v>
      </c>
      <c r="H669" s="125">
        <v>67881.272727272721</v>
      </c>
      <c r="I669" s="126"/>
    </row>
    <row r="670" spans="1:9" x14ac:dyDescent="0.2">
      <c r="A670" s="40"/>
      <c r="B670" s="46"/>
      <c r="C670" s="43"/>
      <c r="D670" s="44"/>
      <c r="E670" s="43"/>
      <c r="F670" s="43"/>
      <c r="G670" s="48">
        <v>0</v>
      </c>
      <c r="H670" s="48">
        <v>67881.272727272721</v>
      </c>
      <c r="I670" s="50"/>
    </row>
    <row r="671" spans="1:9" x14ac:dyDescent="0.2">
      <c r="A671" s="40">
        <v>110</v>
      </c>
      <c r="B671" s="46" t="s">
        <v>322</v>
      </c>
      <c r="C671" s="43">
        <v>24201</v>
      </c>
      <c r="D671" s="44"/>
      <c r="E671" s="43"/>
      <c r="F671" s="43"/>
      <c r="G671" s="48">
        <v>0</v>
      </c>
      <c r="H671" s="48">
        <v>99481.188181818186</v>
      </c>
      <c r="I671" s="50">
        <v>0</v>
      </c>
    </row>
    <row r="672" spans="1:9" x14ac:dyDescent="0.2">
      <c r="A672" s="40"/>
      <c r="B672" s="46"/>
      <c r="C672" s="43"/>
      <c r="D672" s="44"/>
      <c r="E672" s="43"/>
      <c r="F672" s="43"/>
      <c r="G672" s="48">
        <v>0</v>
      </c>
      <c r="H672" s="48">
        <v>99481.188181818186</v>
      </c>
      <c r="I672" s="50"/>
    </row>
    <row r="673" spans="1:9" x14ac:dyDescent="0.2">
      <c r="A673" s="40"/>
      <c r="B673" s="46"/>
      <c r="C673" s="43"/>
      <c r="D673" s="43"/>
      <c r="E673" s="43"/>
      <c r="F673" s="43"/>
      <c r="G673" s="48">
        <v>0</v>
      </c>
      <c r="H673" s="48">
        <v>99481.188181818186</v>
      </c>
      <c r="I673" s="50"/>
    </row>
    <row r="674" spans="1:9" x14ac:dyDescent="0.2">
      <c r="A674" s="40">
        <v>111</v>
      </c>
      <c r="B674" s="123" t="s">
        <v>323</v>
      </c>
      <c r="C674" s="124">
        <v>24203</v>
      </c>
      <c r="D674" s="128" t="s">
        <v>961</v>
      </c>
      <c r="E674" s="124" t="s">
        <v>662</v>
      </c>
      <c r="F674" s="124">
        <v>1</v>
      </c>
      <c r="G674" s="125">
        <v>67881.272727272721</v>
      </c>
      <c r="H674" s="125">
        <v>67881.272727272721</v>
      </c>
      <c r="I674" s="126">
        <v>135762.54545454541</v>
      </c>
    </row>
    <row r="675" spans="1:9" x14ac:dyDescent="0.2">
      <c r="A675" s="40"/>
      <c r="B675" s="123"/>
      <c r="C675" s="124"/>
      <c r="D675" s="128" t="s">
        <v>946</v>
      </c>
      <c r="E675" s="124" t="s">
        <v>662</v>
      </c>
      <c r="F675" s="124">
        <v>1</v>
      </c>
      <c r="G675" s="125">
        <v>67881.272727272706</v>
      </c>
      <c r="H675" s="125">
        <v>67881.272727272706</v>
      </c>
      <c r="I675" s="126"/>
    </row>
    <row r="676" spans="1:9" x14ac:dyDescent="0.2">
      <c r="A676" s="40"/>
      <c r="B676" s="46"/>
      <c r="C676" s="43"/>
      <c r="D676" s="44"/>
      <c r="E676" s="43"/>
      <c r="F676" s="43"/>
      <c r="G676" s="48">
        <v>0</v>
      </c>
      <c r="H676" s="48">
        <v>67881.272727272706</v>
      </c>
      <c r="I676" s="50"/>
    </row>
    <row r="677" spans="1:9" x14ac:dyDescent="0.2">
      <c r="A677" s="40"/>
      <c r="B677" s="46"/>
      <c r="C677" s="43"/>
      <c r="D677" s="44"/>
      <c r="E677" s="43"/>
      <c r="F677" s="43"/>
      <c r="G677" s="48">
        <v>0</v>
      </c>
      <c r="H677" s="48">
        <v>67881.272727272721</v>
      </c>
      <c r="I677" s="50"/>
    </row>
    <row r="678" spans="1:9" x14ac:dyDescent="0.2">
      <c r="A678" s="40"/>
      <c r="B678" s="46"/>
      <c r="C678" s="43"/>
      <c r="D678" s="44"/>
      <c r="E678" s="43"/>
      <c r="F678" s="43"/>
      <c r="G678" s="48">
        <v>0</v>
      </c>
      <c r="H678" s="48">
        <v>67881.272727272721</v>
      </c>
      <c r="I678" s="50"/>
    </row>
    <row r="679" spans="1:9" x14ac:dyDescent="0.2">
      <c r="A679" s="40">
        <v>112</v>
      </c>
      <c r="B679" s="123" t="s">
        <v>324</v>
      </c>
      <c r="C679" s="124">
        <v>24204</v>
      </c>
      <c r="D679" s="128" t="s">
        <v>963</v>
      </c>
      <c r="E679" s="124" t="s">
        <v>658</v>
      </c>
      <c r="F679" s="124">
        <v>1</v>
      </c>
      <c r="G679" s="125">
        <v>67881.272727272721</v>
      </c>
      <c r="H679" s="125">
        <v>67881.272727272721</v>
      </c>
      <c r="I679" s="126">
        <v>203643.81818181812</v>
      </c>
    </row>
    <row r="680" spans="1:9" x14ac:dyDescent="0.2">
      <c r="A680" s="40"/>
      <c r="B680" s="123"/>
      <c r="C680" s="124"/>
      <c r="D680" s="124" t="s">
        <v>944</v>
      </c>
      <c r="E680" s="124" t="s">
        <v>662</v>
      </c>
      <c r="F680" s="124">
        <v>1</v>
      </c>
      <c r="G680" s="125">
        <v>67881.272727272706</v>
      </c>
      <c r="H680" s="125">
        <v>67881.272727272706</v>
      </c>
      <c r="I680" s="126"/>
    </row>
    <row r="681" spans="1:9" x14ac:dyDescent="0.2">
      <c r="A681" s="40"/>
      <c r="B681" s="123"/>
      <c r="C681" s="124"/>
      <c r="D681" s="124" t="s">
        <v>952</v>
      </c>
      <c r="E681" s="124" t="s">
        <v>662</v>
      </c>
      <c r="F681" s="124">
        <v>1</v>
      </c>
      <c r="G681" s="125">
        <v>67881.272727272721</v>
      </c>
      <c r="H681" s="125">
        <v>67881.272727272721</v>
      </c>
      <c r="I681" s="126"/>
    </row>
    <row r="682" spans="1:9" x14ac:dyDescent="0.2">
      <c r="A682" s="40"/>
      <c r="B682" s="46"/>
      <c r="C682" s="43"/>
      <c r="D682" s="43"/>
      <c r="E682" s="43"/>
      <c r="F682" s="43"/>
      <c r="G682" s="48">
        <v>0</v>
      </c>
      <c r="H682" s="48">
        <v>67881.272727272721</v>
      </c>
      <c r="I682" s="50"/>
    </row>
    <row r="683" spans="1:9" x14ac:dyDescent="0.2">
      <c r="A683" s="40"/>
      <c r="B683" s="46"/>
      <c r="C683" s="43"/>
      <c r="D683" s="43"/>
      <c r="E683" s="43"/>
      <c r="F683" s="43"/>
      <c r="G683" s="48">
        <v>0</v>
      </c>
      <c r="H683" s="48">
        <v>67881.272727272721</v>
      </c>
      <c r="I683" s="50"/>
    </row>
    <row r="684" spans="1:9" x14ac:dyDescent="0.2">
      <c r="A684" s="40"/>
      <c r="B684" s="46"/>
      <c r="C684" s="43"/>
      <c r="D684" s="43"/>
      <c r="E684" s="43"/>
      <c r="F684" s="43"/>
      <c r="G684" s="48">
        <v>0</v>
      </c>
      <c r="H684" s="48">
        <v>67881.272727272721</v>
      </c>
      <c r="I684" s="50"/>
    </row>
    <row r="685" spans="1:9" x14ac:dyDescent="0.2">
      <c r="A685" s="40"/>
      <c r="B685" s="46"/>
      <c r="C685" s="43"/>
      <c r="D685" s="43"/>
      <c r="E685" s="43"/>
      <c r="F685" s="43"/>
      <c r="G685" s="48">
        <v>0</v>
      </c>
      <c r="H685" s="48">
        <v>67881.272727272721</v>
      </c>
      <c r="I685" s="50"/>
    </row>
    <row r="686" spans="1:9" x14ac:dyDescent="0.2">
      <c r="A686" s="40">
        <v>113</v>
      </c>
      <c r="B686" s="123" t="s">
        <v>326</v>
      </c>
      <c r="C686" s="124">
        <v>24206</v>
      </c>
      <c r="D686" s="124" t="s">
        <v>942</v>
      </c>
      <c r="E686" s="124" t="s">
        <v>657</v>
      </c>
      <c r="F686" s="124">
        <v>1</v>
      </c>
      <c r="G686" s="125">
        <v>76073.849545454548</v>
      </c>
      <c r="H686" s="125">
        <v>76073.849545454548</v>
      </c>
      <c r="I686" s="126">
        <v>304295.39818181819</v>
      </c>
    </row>
    <row r="687" spans="1:9" x14ac:dyDescent="0.2">
      <c r="A687" s="40"/>
      <c r="B687" s="123"/>
      <c r="C687" s="124"/>
      <c r="D687" s="128" t="s">
        <v>962</v>
      </c>
      <c r="E687" s="124" t="s">
        <v>657</v>
      </c>
      <c r="F687" s="124">
        <v>1</v>
      </c>
      <c r="G687" s="125">
        <v>76073.849545454548</v>
      </c>
      <c r="H687" s="125">
        <v>76073.849545454548</v>
      </c>
      <c r="I687" s="126"/>
    </row>
    <row r="688" spans="1:9" x14ac:dyDescent="0.2">
      <c r="A688" s="40"/>
      <c r="B688" s="123"/>
      <c r="C688" s="124"/>
      <c r="D688" s="128" t="s">
        <v>951</v>
      </c>
      <c r="E688" s="124" t="s">
        <v>657</v>
      </c>
      <c r="F688" s="124">
        <v>1</v>
      </c>
      <c r="G688" s="125">
        <v>76073.849545454548</v>
      </c>
      <c r="H688" s="125">
        <v>76073.849545454548</v>
      </c>
      <c r="I688" s="126"/>
    </row>
    <row r="689" spans="1:9" x14ac:dyDescent="0.2">
      <c r="A689" s="40"/>
      <c r="B689" s="123"/>
      <c r="C689" s="124"/>
      <c r="D689" s="128" t="s">
        <v>961</v>
      </c>
      <c r="E689" s="124" t="s">
        <v>658</v>
      </c>
      <c r="F689" s="124">
        <v>1</v>
      </c>
      <c r="G689" s="125">
        <v>76073.849545454548</v>
      </c>
      <c r="H689" s="125">
        <v>76073.849545454548</v>
      </c>
      <c r="I689" s="126"/>
    </row>
    <row r="690" spans="1:9" x14ac:dyDescent="0.2">
      <c r="A690" s="40"/>
      <c r="B690" s="46"/>
      <c r="C690" s="43"/>
      <c r="D690" s="44"/>
      <c r="E690" s="43"/>
      <c r="F690" s="43"/>
      <c r="G690" s="48">
        <v>0</v>
      </c>
      <c r="H690" s="48">
        <v>76073.849545454548</v>
      </c>
      <c r="I690" s="50"/>
    </row>
    <row r="691" spans="1:9" x14ac:dyDescent="0.2">
      <c r="A691" s="40"/>
      <c r="B691" s="46"/>
      <c r="C691" s="43"/>
      <c r="D691" s="44"/>
      <c r="E691" s="43"/>
      <c r="F691" s="43"/>
      <c r="G691" s="48">
        <v>0</v>
      </c>
      <c r="H691" s="48">
        <v>76073.849545454548</v>
      </c>
      <c r="I691" s="50"/>
    </row>
    <row r="692" spans="1:9" x14ac:dyDescent="0.2">
      <c r="A692" s="40">
        <v>114</v>
      </c>
      <c r="B692" s="46" t="s">
        <v>327</v>
      </c>
      <c r="C692" s="43">
        <v>24207</v>
      </c>
      <c r="D692" s="43"/>
      <c r="E692" s="43"/>
      <c r="F692" s="43"/>
      <c r="G692" s="48">
        <v>0</v>
      </c>
      <c r="H692" s="48">
        <v>76073.849545454548</v>
      </c>
      <c r="I692" s="50">
        <v>0</v>
      </c>
    </row>
    <row r="693" spans="1:9" x14ac:dyDescent="0.2">
      <c r="A693" s="40"/>
      <c r="B693" s="46"/>
      <c r="C693" s="43"/>
      <c r="D693" s="43"/>
      <c r="E693" s="43"/>
      <c r="F693" s="43"/>
      <c r="G693" s="48">
        <v>0</v>
      </c>
      <c r="H693" s="48">
        <v>67881.272727272721</v>
      </c>
      <c r="I693" s="50"/>
    </row>
    <row r="694" spans="1:9" x14ac:dyDescent="0.2">
      <c r="A694" s="40"/>
      <c r="B694" s="46"/>
      <c r="C694" s="43"/>
      <c r="D694" s="43"/>
      <c r="E694" s="43"/>
      <c r="F694" s="43"/>
      <c r="G694" s="48">
        <v>0</v>
      </c>
      <c r="H694" s="48">
        <v>67881.272727272721</v>
      </c>
      <c r="I694" s="50"/>
    </row>
    <row r="695" spans="1:9" x14ac:dyDescent="0.2">
      <c r="A695" s="40"/>
      <c r="B695" s="46"/>
      <c r="C695" s="43"/>
      <c r="D695" s="43"/>
      <c r="E695" s="43"/>
      <c r="F695" s="43"/>
      <c r="G695" s="48">
        <v>0</v>
      </c>
      <c r="H695" s="48">
        <v>67881.272727272721</v>
      </c>
      <c r="I695" s="50"/>
    </row>
    <row r="696" spans="1:9" x14ac:dyDescent="0.2">
      <c r="A696" s="40"/>
      <c r="B696" s="46"/>
      <c r="C696" s="43"/>
      <c r="D696" s="44"/>
      <c r="E696" s="43"/>
      <c r="F696" s="43"/>
      <c r="G696" s="48">
        <v>0</v>
      </c>
      <c r="H696" s="48">
        <v>67881.272727272721</v>
      </c>
      <c r="I696" s="50"/>
    </row>
    <row r="697" spans="1:9" x14ac:dyDescent="0.2">
      <c r="A697" s="40"/>
      <c r="B697" s="46"/>
      <c r="C697" s="43"/>
      <c r="D697" s="45"/>
      <c r="E697" s="43"/>
      <c r="F697" s="43"/>
      <c r="G697" s="48">
        <v>0</v>
      </c>
      <c r="H697" s="48">
        <v>67881.272727272721</v>
      </c>
      <c r="I697" s="50"/>
    </row>
    <row r="698" spans="1:9" x14ac:dyDescent="0.2">
      <c r="A698" s="40">
        <v>115</v>
      </c>
      <c r="B698" s="123" t="s">
        <v>328</v>
      </c>
      <c r="C698" s="124">
        <v>24208</v>
      </c>
      <c r="D698" s="128" t="s">
        <v>960</v>
      </c>
      <c r="E698" s="124" t="s">
        <v>658</v>
      </c>
      <c r="F698" s="124">
        <v>0.875</v>
      </c>
      <c r="G698" s="125">
        <v>81925.684431818183</v>
      </c>
      <c r="H698" s="125">
        <v>93629.353636363638</v>
      </c>
      <c r="I698" s="126">
        <v>81925.684431818183</v>
      </c>
    </row>
    <row r="699" spans="1:9" x14ac:dyDescent="0.2">
      <c r="A699" s="40"/>
      <c r="B699" s="46"/>
      <c r="C699" s="43"/>
      <c r="D699" s="43"/>
      <c r="E699" s="43"/>
      <c r="F699" s="43"/>
      <c r="G699" s="48">
        <v>0</v>
      </c>
      <c r="H699" s="48">
        <v>93629.353636363638</v>
      </c>
      <c r="I699" s="50"/>
    </row>
    <row r="700" spans="1:9" x14ac:dyDescent="0.2">
      <c r="A700" s="40"/>
      <c r="B700" s="46"/>
      <c r="C700" s="43"/>
      <c r="D700" s="43"/>
      <c r="E700" s="43"/>
      <c r="F700" s="43"/>
      <c r="G700" s="48">
        <v>0</v>
      </c>
      <c r="H700" s="48">
        <v>93629.353636363638</v>
      </c>
      <c r="I700" s="50"/>
    </row>
    <row r="701" spans="1:9" x14ac:dyDescent="0.2">
      <c r="A701" s="40"/>
      <c r="B701" s="46"/>
      <c r="C701" s="43"/>
      <c r="D701" s="43"/>
      <c r="E701" s="43"/>
      <c r="F701" s="43"/>
      <c r="G701" s="48">
        <v>0</v>
      </c>
      <c r="H701" s="48">
        <v>93629.353636363638</v>
      </c>
      <c r="I701" s="50"/>
    </row>
    <row r="702" spans="1:9" x14ac:dyDescent="0.2">
      <c r="A702" s="40"/>
      <c r="B702" s="46"/>
      <c r="C702" s="43"/>
      <c r="D702" s="43"/>
      <c r="E702" s="43"/>
      <c r="F702" s="43"/>
      <c r="G702" s="48">
        <v>0</v>
      </c>
      <c r="H702" s="48">
        <v>93629.353636363638</v>
      </c>
      <c r="I702" s="50"/>
    </row>
    <row r="703" spans="1:9" x14ac:dyDescent="0.2">
      <c r="A703" s="40">
        <v>116</v>
      </c>
      <c r="B703" s="123" t="s">
        <v>329</v>
      </c>
      <c r="C703" s="124">
        <v>24209</v>
      </c>
      <c r="D703" s="128" t="s">
        <v>942</v>
      </c>
      <c r="E703" s="124" t="s">
        <v>662</v>
      </c>
      <c r="F703" s="124">
        <v>1</v>
      </c>
      <c r="G703" s="125">
        <v>67881.272727272721</v>
      </c>
      <c r="H703" s="125">
        <v>67881.272727272721</v>
      </c>
      <c r="I703" s="126">
        <v>135762.54545454541</v>
      </c>
    </row>
    <row r="704" spans="1:9" x14ac:dyDescent="0.2">
      <c r="A704" s="40"/>
      <c r="B704" s="123"/>
      <c r="C704" s="124"/>
      <c r="D704" s="128" t="s">
        <v>947</v>
      </c>
      <c r="E704" s="124" t="s">
        <v>662</v>
      </c>
      <c r="F704" s="124">
        <v>1</v>
      </c>
      <c r="G704" s="125">
        <v>67881.272727272706</v>
      </c>
      <c r="H704" s="125">
        <v>67881.272727272706</v>
      </c>
      <c r="I704" s="126"/>
    </row>
    <row r="705" spans="1:9" x14ac:dyDescent="0.2">
      <c r="A705" s="40"/>
      <c r="B705" s="46"/>
      <c r="C705" s="43"/>
      <c r="D705" s="44"/>
      <c r="E705" s="43"/>
      <c r="F705" s="43"/>
      <c r="G705" s="48">
        <v>0</v>
      </c>
      <c r="H705" s="48">
        <v>67881.272727272706</v>
      </c>
      <c r="I705" s="50"/>
    </row>
    <row r="706" spans="1:9" x14ac:dyDescent="0.2">
      <c r="A706" s="40"/>
      <c r="B706" s="46"/>
      <c r="C706" s="43"/>
      <c r="D706" s="44"/>
      <c r="E706" s="43"/>
      <c r="F706" s="43"/>
      <c r="G706" s="48">
        <v>0</v>
      </c>
      <c r="H706" s="48">
        <v>67881.272727272706</v>
      </c>
      <c r="I706" s="50"/>
    </row>
    <row r="707" spans="1:9" x14ac:dyDescent="0.2">
      <c r="A707" s="40"/>
      <c r="B707" s="46"/>
      <c r="C707" s="43"/>
      <c r="D707" s="44"/>
      <c r="E707" s="43"/>
      <c r="F707" s="43"/>
      <c r="G707" s="48">
        <v>0</v>
      </c>
      <c r="H707" s="48">
        <v>67881.272727272706</v>
      </c>
      <c r="I707" s="50"/>
    </row>
    <row r="708" spans="1:9" x14ac:dyDescent="0.2">
      <c r="A708" s="40"/>
      <c r="B708" s="46"/>
      <c r="C708" s="43"/>
      <c r="D708" s="43"/>
      <c r="E708" s="43"/>
      <c r="F708" s="43"/>
      <c r="G708" s="48">
        <v>0</v>
      </c>
      <c r="H708" s="48">
        <v>67881.272727272706</v>
      </c>
      <c r="I708" s="50"/>
    </row>
    <row r="709" spans="1:9" x14ac:dyDescent="0.2">
      <c r="A709" s="40"/>
      <c r="B709" s="46"/>
      <c r="C709" s="43"/>
      <c r="D709" s="43"/>
      <c r="E709" s="43"/>
      <c r="F709" s="43"/>
      <c r="G709" s="48">
        <v>0</v>
      </c>
      <c r="H709" s="48">
        <v>67881.272727272706</v>
      </c>
      <c r="I709" s="50"/>
    </row>
    <row r="710" spans="1:9" x14ac:dyDescent="0.2">
      <c r="A710" s="40"/>
      <c r="B710" s="46"/>
      <c r="C710" s="43"/>
      <c r="D710" s="43"/>
      <c r="E710" s="43"/>
      <c r="F710" s="43"/>
      <c r="G710" s="48">
        <v>0</v>
      </c>
      <c r="H710" s="48">
        <v>67881.272727272706</v>
      </c>
      <c r="I710" s="50"/>
    </row>
    <row r="711" spans="1:9" x14ac:dyDescent="0.2">
      <c r="A711" s="40">
        <v>118</v>
      </c>
      <c r="B711" s="123" t="s">
        <v>330</v>
      </c>
      <c r="C711" s="124">
        <v>24211</v>
      </c>
      <c r="D711" s="124" t="s">
        <v>956</v>
      </c>
      <c r="E711" s="124" t="s">
        <v>662</v>
      </c>
      <c r="F711" s="124">
        <v>0.41624999999999979</v>
      </c>
      <c r="G711" s="125">
        <v>31665.739873295439</v>
      </c>
      <c r="H711" s="125">
        <v>76073.849545454548</v>
      </c>
      <c r="I711" s="126">
        <v>89576.957839772716</v>
      </c>
    </row>
    <row r="712" spans="1:9" x14ac:dyDescent="0.2">
      <c r="A712" s="40"/>
      <c r="B712" s="123"/>
      <c r="C712" s="124"/>
      <c r="D712" s="124" t="s">
        <v>945</v>
      </c>
      <c r="E712" s="124" t="s">
        <v>662</v>
      </c>
      <c r="F712" s="124">
        <v>0.38624999999999998</v>
      </c>
      <c r="G712" s="125">
        <v>29383.524386931818</v>
      </c>
      <c r="H712" s="125">
        <v>76073.849545454548</v>
      </c>
      <c r="I712" s="126"/>
    </row>
    <row r="713" spans="1:9" x14ac:dyDescent="0.2">
      <c r="A713" s="40"/>
      <c r="B713" s="129"/>
      <c r="C713" s="124"/>
      <c r="D713" s="124" t="s">
        <v>946</v>
      </c>
      <c r="E713" s="124" t="s">
        <v>662</v>
      </c>
      <c r="F713" s="124">
        <v>0.375</v>
      </c>
      <c r="G713" s="125">
        <v>28527.693579545456</v>
      </c>
      <c r="H713" s="125">
        <v>76073.849545454548</v>
      </c>
      <c r="I713" s="126"/>
    </row>
    <row r="714" spans="1:9" x14ac:dyDescent="0.2">
      <c r="A714" s="40"/>
      <c r="B714" s="41"/>
      <c r="C714" s="43"/>
      <c r="D714" s="44"/>
      <c r="E714" s="43"/>
      <c r="F714" s="43"/>
      <c r="G714" s="48">
        <v>0</v>
      </c>
      <c r="H714" s="48">
        <v>76073.849545454548</v>
      </c>
      <c r="I714" s="50"/>
    </row>
    <row r="715" spans="1:9" x14ac:dyDescent="0.2">
      <c r="A715" s="40"/>
      <c r="B715" s="41"/>
      <c r="C715" s="43"/>
      <c r="D715" s="44"/>
      <c r="E715" s="43"/>
      <c r="F715" s="43"/>
      <c r="G715" s="48">
        <v>0</v>
      </c>
      <c r="H715" s="48">
        <v>76073.849545454548</v>
      </c>
      <c r="I715" s="50"/>
    </row>
    <row r="716" spans="1:9" x14ac:dyDescent="0.2">
      <c r="A716" s="40"/>
      <c r="B716" s="41"/>
      <c r="C716" s="43"/>
      <c r="D716" s="44"/>
      <c r="E716" s="43"/>
      <c r="F716" s="43"/>
      <c r="G716" s="48">
        <v>0</v>
      </c>
      <c r="H716" s="48">
        <v>76073.849545454548</v>
      </c>
      <c r="I716" s="50"/>
    </row>
    <row r="717" spans="1:9" x14ac:dyDescent="0.2">
      <c r="A717" s="40"/>
      <c r="B717" s="41"/>
      <c r="C717" s="43"/>
      <c r="D717" s="44"/>
      <c r="E717" s="43"/>
      <c r="F717" s="43"/>
      <c r="G717" s="48">
        <v>0</v>
      </c>
      <c r="H717" s="48">
        <v>76073.849545454548</v>
      </c>
      <c r="I717" s="50"/>
    </row>
    <row r="718" spans="1:9" x14ac:dyDescent="0.2">
      <c r="A718" s="40"/>
      <c r="B718" s="41"/>
      <c r="C718" s="43"/>
      <c r="D718" s="44"/>
      <c r="E718" s="43"/>
      <c r="F718" s="43"/>
      <c r="G718" s="48">
        <v>0</v>
      </c>
      <c r="H718" s="48">
        <v>76073.849545454548</v>
      </c>
      <c r="I718" s="50"/>
    </row>
    <row r="719" spans="1:9" x14ac:dyDescent="0.2">
      <c r="A719" s="40"/>
      <c r="B719" s="41"/>
      <c r="C719" s="43"/>
      <c r="D719" s="44"/>
      <c r="E719" s="43"/>
      <c r="F719" s="43"/>
      <c r="G719" s="48">
        <v>0</v>
      </c>
      <c r="H719" s="48">
        <v>76073.849545454548</v>
      </c>
      <c r="I719" s="50"/>
    </row>
    <row r="720" spans="1:9" x14ac:dyDescent="0.2">
      <c r="A720" s="40"/>
      <c r="B720" s="41"/>
      <c r="C720" s="43"/>
      <c r="D720" s="44"/>
      <c r="E720" s="43"/>
      <c r="F720" s="43"/>
      <c r="G720" s="48">
        <v>0</v>
      </c>
      <c r="H720" s="48">
        <v>76073.849545454548</v>
      </c>
      <c r="I720" s="50"/>
    </row>
    <row r="721" spans="1:9" x14ac:dyDescent="0.2">
      <c r="A721" s="40">
        <v>119</v>
      </c>
      <c r="B721" s="41" t="s">
        <v>331</v>
      </c>
      <c r="C721" s="43">
        <v>24214</v>
      </c>
      <c r="D721" s="44"/>
      <c r="E721" s="43"/>
      <c r="F721" s="43"/>
      <c r="G721" s="48">
        <v>0</v>
      </c>
      <c r="H721" s="48">
        <v>99481.188181818186</v>
      </c>
      <c r="I721" s="50">
        <v>0</v>
      </c>
    </row>
    <row r="722" spans="1:9" x14ac:dyDescent="0.2">
      <c r="A722" s="40"/>
      <c r="B722" s="41"/>
      <c r="C722" s="43"/>
      <c r="D722" s="44"/>
      <c r="E722" s="43"/>
      <c r="F722" s="43"/>
      <c r="G722" s="48">
        <v>0</v>
      </c>
      <c r="H722" s="48">
        <v>99481.188181818186</v>
      </c>
      <c r="I722" s="50"/>
    </row>
    <row r="723" spans="1:9" x14ac:dyDescent="0.2">
      <c r="A723" s="40"/>
      <c r="B723" s="41"/>
      <c r="C723" s="43"/>
      <c r="D723" s="43"/>
      <c r="E723" s="43"/>
      <c r="F723" s="43"/>
      <c r="G723" s="48">
        <v>0</v>
      </c>
      <c r="H723" s="48">
        <v>99481.188181818186</v>
      </c>
      <c r="I723" s="50"/>
    </row>
    <row r="724" spans="1:9" x14ac:dyDescent="0.2">
      <c r="A724" s="40"/>
      <c r="B724" s="41"/>
      <c r="C724" s="43"/>
      <c r="D724" s="43"/>
      <c r="E724" s="43"/>
      <c r="F724" s="43"/>
      <c r="G724" s="48">
        <v>0</v>
      </c>
      <c r="H724" s="48">
        <v>99481.188181818186</v>
      </c>
      <c r="I724" s="50"/>
    </row>
    <row r="725" spans="1:9" x14ac:dyDescent="0.2">
      <c r="A725" s="40"/>
      <c r="B725" s="41"/>
      <c r="C725" s="43"/>
      <c r="D725" s="44"/>
      <c r="E725" s="43"/>
      <c r="F725" s="43"/>
      <c r="G725" s="48">
        <v>0</v>
      </c>
      <c r="H725" s="48">
        <v>99481.188181818186</v>
      </c>
      <c r="I725" s="50"/>
    </row>
    <row r="726" spans="1:9" x14ac:dyDescent="0.2">
      <c r="A726" s="40"/>
      <c r="B726" s="41"/>
      <c r="C726" s="43"/>
      <c r="D726" s="44"/>
      <c r="E726" s="43"/>
      <c r="F726" s="43"/>
      <c r="G726" s="48">
        <v>0</v>
      </c>
      <c r="H726" s="48">
        <v>99481.188181818186</v>
      </c>
      <c r="I726" s="50"/>
    </row>
    <row r="727" spans="1:9" x14ac:dyDescent="0.2">
      <c r="A727" s="40"/>
      <c r="B727" s="41"/>
      <c r="C727" s="43"/>
      <c r="D727" s="43"/>
      <c r="E727" s="43"/>
      <c r="F727" s="43"/>
      <c r="G727" s="48">
        <v>0</v>
      </c>
      <c r="H727" s="48">
        <v>99481.188181818186</v>
      </c>
      <c r="I727" s="50"/>
    </row>
    <row r="728" spans="1:9" x14ac:dyDescent="0.2">
      <c r="A728" s="40"/>
      <c r="B728" s="41"/>
      <c r="C728" s="43"/>
      <c r="D728" s="44"/>
      <c r="E728" s="43"/>
      <c r="F728" s="43"/>
      <c r="G728" s="48">
        <v>0</v>
      </c>
      <c r="H728" s="48">
        <v>99481.188181818186</v>
      </c>
      <c r="I728" s="50"/>
    </row>
    <row r="729" spans="1:9" x14ac:dyDescent="0.2">
      <c r="A729" s="40"/>
      <c r="B729" s="41"/>
      <c r="C729" s="43"/>
      <c r="D729" s="44"/>
      <c r="E729" s="43"/>
      <c r="F729" s="43"/>
      <c r="G729" s="48">
        <v>0</v>
      </c>
      <c r="H729" s="48">
        <v>99481.188181818186</v>
      </c>
      <c r="I729" s="50"/>
    </row>
    <row r="730" spans="1:9" x14ac:dyDescent="0.2">
      <c r="A730" s="40"/>
      <c r="B730" s="41"/>
      <c r="C730" s="43"/>
      <c r="D730" s="45"/>
      <c r="E730" s="43"/>
      <c r="F730" s="43"/>
      <c r="G730" s="48">
        <v>0</v>
      </c>
      <c r="H730" s="48">
        <v>99481.188181818186</v>
      </c>
      <c r="I730" s="50"/>
    </row>
    <row r="731" spans="1:9" x14ac:dyDescent="0.2">
      <c r="A731" s="40"/>
      <c r="B731" s="41"/>
      <c r="C731" s="43"/>
      <c r="D731" s="44"/>
      <c r="E731" s="43"/>
      <c r="F731" s="43"/>
      <c r="G731" s="48">
        <v>0</v>
      </c>
      <c r="H731" s="48">
        <v>99481.188181818186</v>
      </c>
      <c r="I731" s="50"/>
    </row>
    <row r="732" spans="1:9" x14ac:dyDescent="0.2">
      <c r="A732" s="40"/>
      <c r="B732" s="41"/>
      <c r="C732" s="43"/>
      <c r="D732" s="43"/>
      <c r="E732" s="43"/>
      <c r="F732" s="43"/>
      <c r="G732" s="48">
        <v>0</v>
      </c>
      <c r="H732" s="48">
        <v>99481.188181818186</v>
      </c>
      <c r="I732" s="50"/>
    </row>
    <row r="733" spans="1:9" x14ac:dyDescent="0.2">
      <c r="A733" s="40"/>
      <c r="B733" s="41"/>
      <c r="C733" s="43"/>
      <c r="D733" s="43"/>
      <c r="E733" s="43"/>
      <c r="F733" s="43"/>
      <c r="G733" s="48">
        <v>0</v>
      </c>
      <c r="H733" s="48">
        <v>99481.188181818186</v>
      </c>
      <c r="I733" s="50"/>
    </row>
    <row r="734" spans="1:9" x14ac:dyDescent="0.2">
      <c r="A734" s="40"/>
      <c r="B734" s="41"/>
      <c r="C734" s="43"/>
      <c r="D734" s="43"/>
      <c r="E734" s="43"/>
      <c r="F734" s="43"/>
      <c r="G734" s="48">
        <v>0</v>
      </c>
      <c r="H734" s="48">
        <v>99481.188181818186</v>
      </c>
      <c r="I734" s="50"/>
    </row>
    <row r="735" spans="1:9" x14ac:dyDescent="0.2">
      <c r="A735" s="40"/>
      <c r="B735" s="41"/>
      <c r="C735" s="43"/>
      <c r="D735" s="44"/>
      <c r="E735" s="43"/>
      <c r="F735" s="43"/>
      <c r="G735" s="48">
        <v>0</v>
      </c>
      <c r="H735" s="48">
        <v>99481.188181818186</v>
      </c>
      <c r="I735" s="50"/>
    </row>
    <row r="736" spans="1:9" x14ac:dyDescent="0.2">
      <c r="A736" s="40"/>
      <c r="B736" s="41"/>
      <c r="C736" s="43"/>
      <c r="D736" s="44"/>
      <c r="E736" s="43"/>
      <c r="F736" s="43"/>
      <c r="G736" s="48">
        <v>0</v>
      </c>
      <c r="H736" s="48">
        <v>99481.188181818186</v>
      </c>
      <c r="I736" s="50"/>
    </row>
    <row r="737" spans="1:9" x14ac:dyDescent="0.2">
      <c r="A737" s="40"/>
      <c r="B737" s="41"/>
      <c r="C737" s="43"/>
      <c r="D737" s="43"/>
      <c r="E737" s="43"/>
      <c r="F737" s="43"/>
      <c r="G737" s="48">
        <v>0</v>
      </c>
      <c r="H737" s="48">
        <v>99481.188181818186</v>
      </c>
      <c r="I737" s="50"/>
    </row>
    <row r="738" spans="1:9" x14ac:dyDescent="0.2">
      <c r="A738" s="40">
        <v>120</v>
      </c>
      <c r="B738" s="41" t="s">
        <v>332</v>
      </c>
      <c r="C738" s="43">
        <v>24216</v>
      </c>
      <c r="D738" s="43"/>
      <c r="E738" s="43"/>
      <c r="F738" s="43"/>
      <c r="G738" s="48">
        <v>0</v>
      </c>
      <c r="H738" s="48">
        <v>99481.188181818186</v>
      </c>
      <c r="I738" s="50">
        <v>0</v>
      </c>
    </row>
    <row r="739" spans="1:9" x14ac:dyDescent="0.2">
      <c r="A739" s="40"/>
      <c r="B739" s="49"/>
      <c r="C739" s="43"/>
      <c r="D739" s="43"/>
      <c r="E739" s="43"/>
      <c r="F739" s="43"/>
      <c r="G739" s="48">
        <v>0</v>
      </c>
      <c r="H739" s="48">
        <v>99481.188181818186</v>
      </c>
      <c r="I739" s="50"/>
    </row>
    <row r="740" spans="1:9" x14ac:dyDescent="0.2">
      <c r="A740" s="40"/>
      <c r="B740" s="49"/>
      <c r="C740" s="43"/>
      <c r="D740" s="43"/>
      <c r="E740" s="43"/>
      <c r="F740" s="43"/>
      <c r="G740" s="48">
        <v>0</v>
      </c>
      <c r="H740" s="48">
        <v>99481.188181818186</v>
      </c>
      <c r="I740" s="50"/>
    </row>
    <row r="741" spans="1:9" x14ac:dyDescent="0.2">
      <c r="A741" s="40"/>
      <c r="B741" s="49"/>
      <c r="C741" s="43"/>
      <c r="D741" s="43"/>
      <c r="E741" s="43"/>
      <c r="F741" s="43"/>
      <c r="G741" s="48">
        <v>0</v>
      </c>
      <c r="H741" s="48">
        <v>99481.188181818186</v>
      </c>
      <c r="I741" s="50"/>
    </row>
    <row r="742" spans="1:9" x14ac:dyDescent="0.2">
      <c r="A742" s="40"/>
      <c r="B742" s="49"/>
      <c r="C742" s="43"/>
      <c r="D742" s="43"/>
      <c r="E742" s="43"/>
      <c r="F742" s="43"/>
      <c r="G742" s="48">
        <v>0</v>
      </c>
      <c r="H742" s="48">
        <v>99481.188181818186</v>
      </c>
      <c r="I742" s="50"/>
    </row>
    <row r="743" spans="1:9" x14ac:dyDescent="0.2">
      <c r="A743" s="40"/>
      <c r="B743" s="49"/>
      <c r="C743" s="43"/>
      <c r="D743" s="43"/>
      <c r="E743" s="43"/>
      <c r="F743" s="43"/>
      <c r="G743" s="48">
        <v>0</v>
      </c>
      <c r="H743" s="48">
        <v>99481.188181818186</v>
      </c>
      <c r="I743" s="50"/>
    </row>
    <row r="744" spans="1:9" x14ac:dyDescent="0.2">
      <c r="A744" s="40"/>
      <c r="B744" s="49"/>
      <c r="C744" s="43"/>
      <c r="D744" s="43"/>
      <c r="E744" s="43"/>
      <c r="F744" s="43"/>
      <c r="G744" s="48">
        <v>0</v>
      </c>
      <c r="H744" s="48">
        <v>99481.188181818186</v>
      </c>
      <c r="I744" s="50"/>
    </row>
    <row r="745" spans="1:9" x14ac:dyDescent="0.2">
      <c r="A745" s="40"/>
      <c r="B745" s="49"/>
      <c r="C745" s="43"/>
      <c r="D745" s="44"/>
      <c r="E745" s="43"/>
      <c r="F745" s="43"/>
      <c r="G745" s="48">
        <v>0</v>
      </c>
      <c r="H745" s="48">
        <v>99481.188181818186</v>
      </c>
      <c r="I745" s="50"/>
    </row>
    <row r="746" spans="1:9" x14ac:dyDescent="0.2">
      <c r="A746" s="40">
        <v>121</v>
      </c>
      <c r="B746" s="49" t="s">
        <v>336</v>
      </c>
      <c r="C746" s="43">
        <v>78076</v>
      </c>
      <c r="D746" s="44"/>
      <c r="E746" s="43"/>
      <c r="F746" s="43"/>
      <c r="G746" s="48">
        <v>0</v>
      </c>
      <c r="H746" s="48">
        <v>113636.36363636363</v>
      </c>
      <c r="I746" s="50">
        <v>0</v>
      </c>
    </row>
    <row r="747" spans="1:9" x14ac:dyDescent="0.2">
      <c r="A747" s="40"/>
      <c r="B747" s="49"/>
      <c r="C747" s="43"/>
      <c r="D747" s="44"/>
      <c r="E747" s="43"/>
      <c r="F747" s="43"/>
      <c r="G747" s="48">
        <v>0</v>
      </c>
      <c r="H747" s="48">
        <v>113636.363636364</v>
      </c>
      <c r="I747" s="50"/>
    </row>
    <row r="748" spans="1:9" x14ac:dyDescent="0.2">
      <c r="A748" s="40"/>
      <c r="B748" s="49"/>
      <c r="C748" s="43"/>
      <c r="D748" s="44"/>
      <c r="E748" s="43"/>
      <c r="F748" s="43"/>
      <c r="G748" s="48">
        <v>0</v>
      </c>
      <c r="H748" s="48">
        <v>113636.363636364</v>
      </c>
      <c r="I748" s="50"/>
    </row>
    <row r="749" spans="1:9" x14ac:dyDescent="0.2">
      <c r="A749" s="40">
        <v>122</v>
      </c>
      <c r="B749" s="131" t="s">
        <v>353</v>
      </c>
      <c r="C749" s="124">
        <v>24224</v>
      </c>
      <c r="D749" s="128" t="s">
        <v>950</v>
      </c>
      <c r="E749" s="124" t="s">
        <v>662</v>
      </c>
      <c r="F749" s="124">
        <v>0.5</v>
      </c>
      <c r="G749" s="125">
        <v>38036.924772727274</v>
      </c>
      <c r="H749" s="125">
        <v>76073.849545454548</v>
      </c>
      <c r="I749" s="126">
        <v>58671.956461931841</v>
      </c>
    </row>
    <row r="750" spans="1:9" x14ac:dyDescent="0.2">
      <c r="A750" s="40"/>
      <c r="B750" s="131"/>
      <c r="C750" s="124"/>
      <c r="D750" s="128" t="s">
        <v>946</v>
      </c>
      <c r="E750" s="124" t="s">
        <v>662</v>
      </c>
      <c r="F750" s="124">
        <v>0.27125000000000021</v>
      </c>
      <c r="G750" s="125">
        <v>20635.031689204563</v>
      </c>
      <c r="H750" s="125">
        <v>76073.849545454548</v>
      </c>
      <c r="I750" s="126"/>
    </row>
    <row r="751" spans="1:9" x14ac:dyDescent="0.2">
      <c r="A751" s="40"/>
      <c r="B751" s="49"/>
      <c r="C751" s="43"/>
      <c r="D751" s="44"/>
      <c r="E751" s="43"/>
      <c r="F751" s="43"/>
      <c r="G751" s="48">
        <v>0</v>
      </c>
      <c r="H751" s="48">
        <v>76073.849545454505</v>
      </c>
      <c r="I751" s="50"/>
    </row>
    <row r="752" spans="1:9" x14ac:dyDescent="0.2">
      <c r="A752" s="40"/>
      <c r="B752" s="49"/>
      <c r="C752" s="43"/>
      <c r="D752" s="44"/>
      <c r="E752" s="43"/>
      <c r="F752" s="43"/>
      <c r="G752" s="48">
        <v>0</v>
      </c>
      <c r="H752" s="48">
        <v>76073.849545454548</v>
      </c>
      <c r="I752" s="50"/>
    </row>
    <row r="753" spans="1:9" x14ac:dyDescent="0.2">
      <c r="A753" s="40">
        <v>123</v>
      </c>
      <c r="B753" s="131" t="s">
        <v>354</v>
      </c>
      <c r="C753" s="124">
        <v>24226</v>
      </c>
      <c r="D753" s="128" t="s">
        <v>938</v>
      </c>
      <c r="E753" s="124" t="s">
        <v>658</v>
      </c>
      <c r="F753" s="124">
        <v>0.875</v>
      </c>
      <c r="G753" s="125">
        <v>66564.618352272722</v>
      </c>
      <c r="H753" s="125">
        <v>76073.849545454548</v>
      </c>
      <c r="I753" s="126">
        <v>218712.31744318182</v>
      </c>
    </row>
    <row r="754" spans="1:9" x14ac:dyDescent="0.2">
      <c r="A754" s="40"/>
      <c r="B754" s="131"/>
      <c r="C754" s="124"/>
      <c r="D754" s="128" t="s">
        <v>943</v>
      </c>
      <c r="E754" s="124" t="s">
        <v>659</v>
      </c>
      <c r="F754" s="124">
        <v>1</v>
      </c>
      <c r="G754" s="125">
        <v>76073.849545454548</v>
      </c>
      <c r="H754" s="125">
        <v>76073.849545454548</v>
      </c>
      <c r="I754" s="126"/>
    </row>
    <row r="755" spans="1:9" x14ac:dyDescent="0.2">
      <c r="A755" s="40"/>
      <c r="B755" s="131"/>
      <c r="C755" s="124"/>
      <c r="D755" s="128" t="s">
        <v>947</v>
      </c>
      <c r="E755" s="124" t="s">
        <v>658</v>
      </c>
      <c r="F755" s="124">
        <v>1</v>
      </c>
      <c r="G755" s="125">
        <v>76073.849545454548</v>
      </c>
      <c r="H755" s="125">
        <v>76073.849545454548</v>
      </c>
      <c r="I755" s="126"/>
    </row>
    <row r="756" spans="1:9" x14ac:dyDescent="0.2">
      <c r="A756" s="40"/>
      <c r="B756" s="49"/>
      <c r="C756" s="43"/>
      <c r="D756" s="43"/>
      <c r="E756" s="43"/>
      <c r="F756" s="43"/>
      <c r="G756" s="48">
        <v>0</v>
      </c>
      <c r="H756" s="48">
        <v>76073.849545454548</v>
      </c>
      <c r="I756" s="50"/>
    </row>
    <row r="757" spans="1:9" x14ac:dyDescent="0.2">
      <c r="A757" s="40"/>
      <c r="B757" s="49"/>
      <c r="C757" s="43"/>
      <c r="D757" s="43"/>
      <c r="E757" s="43"/>
      <c r="F757" s="43"/>
      <c r="G757" s="48">
        <v>0</v>
      </c>
      <c r="H757" s="48">
        <v>76073.849545454548</v>
      </c>
      <c r="I757" s="50"/>
    </row>
    <row r="758" spans="1:9" x14ac:dyDescent="0.2">
      <c r="A758" s="40"/>
      <c r="B758" s="49"/>
      <c r="C758" s="43"/>
      <c r="D758" s="43"/>
      <c r="E758" s="43"/>
      <c r="F758" s="43"/>
      <c r="G758" s="48">
        <v>0</v>
      </c>
      <c r="H758" s="48">
        <v>76073.849545454548</v>
      </c>
      <c r="I758" s="50"/>
    </row>
    <row r="759" spans="1:9" x14ac:dyDescent="0.2">
      <c r="A759" s="40">
        <v>124</v>
      </c>
      <c r="B759" s="131" t="s">
        <v>358</v>
      </c>
      <c r="C759" s="124">
        <v>24227</v>
      </c>
      <c r="D759" s="124" t="s">
        <v>950</v>
      </c>
      <c r="E759" s="124" t="s">
        <v>657</v>
      </c>
      <c r="F759" s="124">
        <v>1</v>
      </c>
      <c r="G759" s="125">
        <v>67881.281363636357</v>
      </c>
      <c r="H759" s="125">
        <v>67881.281363636357</v>
      </c>
      <c r="I759" s="126">
        <v>543050.25090909086</v>
      </c>
    </row>
    <row r="760" spans="1:9" x14ac:dyDescent="0.2">
      <c r="A760" s="40"/>
      <c r="B760" s="131"/>
      <c r="C760" s="124"/>
      <c r="D760" s="124" t="s">
        <v>949</v>
      </c>
      <c r="E760" s="124" t="s">
        <v>657</v>
      </c>
      <c r="F760" s="124">
        <v>1</v>
      </c>
      <c r="G760" s="125">
        <v>67881.281363636357</v>
      </c>
      <c r="H760" s="125">
        <v>67881.281363636357</v>
      </c>
      <c r="I760" s="126"/>
    </row>
    <row r="761" spans="1:9" x14ac:dyDescent="0.2">
      <c r="A761" s="40"/>
      <c r="B761" s="131"/>
      <c r="C761" s="124"/>
      <c r="D761" s="124" t="s">
        <v>955</v>
      </c>
      <c r="E761" s="124" t="s">
        <v>657</v>
      </c>
      <c r="F761" s="124">
        <v>1</v>
      </c>
      <c r="G761" s="125">
        <v>67881.281363636357</v>
      </c>
      <c r="H761" s="125">
        <v>67881.281363636357</v>
      </c>
      <c r="I761" s="126"/>
    </row>
    <row r="762" spans="1:9" x14ac:dyDescent="0.2">
      <c r="A762" s="40"/>
      <c r="B762" s="131"/>
      <c r="C762" s="124"/>
      <c r="D762" s="124" t="s">
        <v>944</v>
      </c>
      <c r="E762" s="124" t="s">
        <v>657</v>
      </c>
      <c r="F762" s="124">
        <v>1</v>
      </c>
      <c r="G762" s="125">
        <v>67881.281363636357</v>
      </c>
      <c r="H762" s="125">
        <v>67881.281363636357</v>
      </c>
      <c r="I762" s="126"/>
    </row>
    <row r="763" spans="1:9" x14ac:dyDescent="0.2">
      <c r="A763" s="40"/>
      <c r="B763" s="131"/>
      <c r="C763" s="124"/>
      <c r="D763" s="124" t="s">
        <v>948</v>
      </c>
      <c r="E763" s="124" t="s">
        <v>657</v>
      </c>
      <c r="F763" s="124">
        <v>1</v>
      </c>
      <c r="G763" s="125">
        <v>67881.281363636357</v>
      </c>
      <c r="H763" s="125">
        <v>67881.281363636357</v>
      </c>
      <c r="I763" s="126"/>
    </row>
    <row r="764" spans="1:9" x14ac:dyDescent="0.2">
      <c r="A764" s="40"/>
      <c r="B764" s="131"/>
      <c r="C764" s="124"/>
      <c r="D764" s="128" t="s">
        <v>940</v>
      </c>
      <c r="E764" s="124" t="s">
        <v>657</v>
      </c>
      <c r="F764" s="124">
        <v>1</v>
      </c>
      <c r="G764" s="125">
        <v>67881.281363636357</v>
      </c>
      <c r="H764" s="125">
        <v>67881.281363636357</v>
      </c>
      <c r="I764" s="126"/>
    </row>
    <row r="765" spans="1:9" x14ac:dyDescent="0.2">
      <c r="A765" s="40"/>
      <c r="B765" s="131"/>
      <c r="C765" s="124"/>
      <c r="D765" s="128" t="s">
        <v>965</v>
      </c>
      <c r="E765" s="124" t="s">
        <v>657</v>
      </c>
      <c r="F765" s="124">
        <v>1</v>
      </c>
      <c r="G765" s="125">
        <v>67881.281363636357</v>
      </c>
      <c r="H765" s="125">
        <v>67881.281363636357</v>
      </c>
      <c r="I765" s="126"/>
    </row>
    <row r="766" spans="1:9" x14ac:dyDescent="0.2">
      <c r="A766" s="40"/>
      <c r="B766" s="131"/>
      <c r="C766" s="124"/>
      <c r="D766" s="128" t="s">
        <v>953</v>
      </c>
      <c r="E766" s="124" t="s">
        <v>657</v>
      </c>
      <c r="F766" s="124">
        <v>1</v>
      </c>
      <c r="G766" s="125">
        <v>67881.281363636357</v>
      </c>
      <c r="H766" s="125">
        <v>67881.281363636357</v>
      </c>
      <c r="I766" s="126"/>
    </row>
    <row r="767" spans="1:9" x14ac:dyDescent="0.2">
      <c r="A767" s="40"/>
      <c r="B767" s="49"/>
      <c r="C767" s="43"/>
      <c r="D767" s="44"/>
      <c r="E767" s="43"/>
      <c r="F767" s="43"/>
      <c r="G767" s="48">
        <v>0</v>
      </c>
      <c r="H767" s="48">
        <v>67881.281363636357</v>
      </c>
      <c r="I767" s="50"/>
    </row>
    <row r="768" spans="1:9" x14ac:dyDescent="0.2">
      <c r="A768" s="40">
        <v>125</v>
      </c>
      <c r="B768" s="131" t="s">
        <v>337</v>
      </c>
      <c r="C768" s="124">
        <v>24228</v>
      </c>
      <c r="D768" s="128" t="s">
        <v>958</v>
      </c>
      <c r="E768" s="124" t="s">
        <v>662</v>
      </c>
      <c r="F768" s="124">
        <v>0.5637500000000002</v>
      </c>
      <c r="G768" s="125">
        <v>52783.548112500022</v>
      </c>
      <c r="H768" s="125">
        <v>93629.353636363638</v>
      </c>
      <c r="I768" s="126">
        <v>52783.548112500022</v>
      </c>
    </row>
    <row r="769" spans="1:9" x14ac:dyDescent="0.2">
      <c r="A769" s="40"/>
      <c r="B769" s="49"/>
      <c r="C769" s="43"/>
      <c r="D769" s="44"/>
      <c r="E769" s="43"/>
      <c r="F769" s="43"/>
      <c r="G769" s="48">
        <v>0</v>
      </c>
      <c r="H769" s="48">
        <v>93629.353636363638</v>
      </c>
      <c r="I769" s="50"/>
    </row>
    <row r="770" spans="1:9" x14ac:dyDescent="0.2">
      <c r="A770" s="40"/>
      <c r="B770" s="49"/>
      <c r="C770" s="43"/>
      <c r="D770" s="44"/>
      <c r="E770" s="43"/>
      <c r="F770" s="43"/>
      <c r="G770" s="48">
        <v>0</v>
      </c>
      <c r="H770" s="48">
        <v>93629.353636363594</v>
      </c>
      <c r="I770" s="50"/>
    </row>
    <row r="771" spans="1:9" x14ac:dyDescent="0.2">
      <c r="A771" s="40"/>
      <c r="B771" s="49"/>
      <c r="C771" s="43"/>
      <c r="D771" s="43"/>
      <c r="E771" s="43"/>
      <c r="F771" s="43"/>
      <c r="G771" s="48">
        <v>0</v>
      </c>
      <c r="H771" s="48">
        <v>93629.353636363638</v>
      </c>
      <c r="I771" s="50"/>
    </row>
    <row r="772" spans="1:9" x14ac:dyDescent="0.2">
      <c r="A772" s="40"/>
      <c r="B772" s="49"/>
      <c r="C772" s="43"/>
      <c r="D772" s="44"/>
      <c r="E772" s="43"/>
      <c r="F772" s="43"/>
      <c r="G772" s="48">
        <v>0</v>
      </c>
      <c r="H772" s="48">
        <v>93629.353636363638</v>
      </c>
      <c r="I772" s="50"/>
    </row>
    <row r="773" spans="1:9" x14ac:dyDescent="0.2">
      <c r="A773" s="40"/>
      <c r="B773" s="49"/>
      <c r="C773" s="43"/>
      <c r="D773" s="44"/>
      <c r="E773" s="43"/>
      <c r="F773" s="43"/>
      <c r="G773" s="48">
        <v>0</v>
      </c>
      <c r="H773" s="48">
        <v>93629.353636363638</v>
      </c>
      <c r="I773" s="50"/>
    </row>
    <row r="774" spans="1:9" x14ac:dyDescent="0.2">
      <c r="A774" s="40"/>
      <c r="B774" s="49"/>
      <c r="C774" s="43"/>
      <c r="D774" s="44"/>
      <c r="E774" s="43"/>
      <c r="F774" s="43"/>
      <c r="G774" s="48">
        <v>0</v>
      </c>
      <c r="H774" s="48">
        <v>93629.353636363638</v>
      </c>
      <c r="I774" s="50"/>
    </row>
    <row r="775" spans="1:9" x14ac:dyDescent="0.2">
      <c r="A775" s="40"/>
      <c r="B775" s="49"/>
      <c r="C775" s="43"/>
      <c r="D775" s="44"/>
      <c r="E775" s="43"/>
      <c r="F775" s="43"/>
      <c r="G775" s="48">
        <v>0</v>
      </c>
      <c r="H775" s="48">
        <v>93629.353636363638</v>
      </c>
      <c r="I775" s="50"/>
    </row>
    <row r="776" spans="1:9" x14ac:dyDescent="0.2">
      <c r="A776" s="40">
        <v>126</v>
      </c>
      <c r="B776" s="131" t="s">
        <v>355</v>
      </c>
      <c r="C776" s="124">
        <v>24229</v>
      </c>
      <c r="D776" s="128" t="s">
        <v>938</v>
      </c>
      <c r="E776" s="124" t="s">
        <v>657</v>
      </c>
      <c r="F776" s="124">
        <v>1.0587500000000001</v>
      </c>
      <c r="G776" s="125">
        <v>80543.188206250008</v>
      </c>
      <c r="H776" s="125">
        <v>76073.849545454548</v>
      </c>
      <c r="I776" s="126">
        <v>186380.93138636363</v>
      </c>
    </row>
    <row r="777" spans="1:9" x14ac:dyDescent="0.2">
      <c r="A777" s="40"/>
      <c r="B777" s="131"/>
      <c r="C777" s="124"/>
      <c r="D777" s="128" t="s">
        <v>939</v>
      </c>
      <c r="E777" s="124" t="s">
        <v>657</v>
      </c>
      <c r="F777" s="124">
        <v>1.00875</v>
      </c>
      <c r="G777" s="125">
        <v>76739.495728977272</v>
      </c>
      <c r="H777" s="125">
        <v>76073.849545454548</v>
      </c>
      <c r="I777" s="126"/>
    </row>
    <row r="778" spans="1:9" x14ac:dyDescent="0.2">
      <c r="A778" s="40"/>
      <c r="B778" s="131"/>
      <c r="C778" s="124"/>
      <c r="D778" s="128" t="s">
        <v>946</v>
      </c>
      <c r="E778" s="124" t="s">
        <v>662</v>
      </c>
      <c r="F778" s="124">
        <v>0.38249999999999984</v>
      </c>
      <c r="G778" s="125">
        <v>29098.247451136351</v>
      </c>
      <c r="H778" s="125">
        <v>76073.849545454548</v>
      </c>
      <c r="I778" s="126"/>
    </row>
    <row r="779" spans="1:9" x14ac:dyDescent="0.2">
      <c r="A779" s="40"/>
      <c r="B779" s="49"/>
      <c r="C779" s="43"/>
      <c r="D779" s="43"/>
      <c r="E779" s="43"/>
      <c r="F779" s="43"/>
      <c r="G779" s="48">
        <v>0</v>
      </c>
      <c r="H779" s="48">
        <v>76073.849545454548</v>
      </c>
      <c r="I779" s="50"/>
    </row>
    <row r="780" spans="1:9" x14ac:dyDescent="0.2">
      <c r="A780" s="40">
        <v>127</v>
      </c>
      <c r="B780" s="131" t="s">
        <v>825</v>
      </c>
      <c r="C780" s="124">
        <v>25042</v>
      </c>
      <c r="D780" s="124" t="s">
        <v>950</v>
      </c>
      <c r="E780" s="124" t="s">
        <v>662</v>
      </c>
      <c r="F780" s="124">
        <v>0.5</v>
      </c>
      <c r="G780" s="125">
        <v>46814.676818181819</v>
      </c>
      <c r="H780" s="125">
        <v>93629.353636363638</v>
      </c>
      <c r="I780" s="126">
        <v>154722.50688409095</v>
      </c>
    </row>
    <row r="781" spans="1:9" x14ac:dyDescent="0.2">
      <c r="A781" s="40"/>
      <c r="B781" s="131"/>
      <c r="C781" s="124"/>
      <c r="D781" s="124" t="s">
        <v>941</v>
      </c>
      <c r="E781" s="124" t="s">
        <v>657</v>
      </c>
      <c r="F781" s="124">
        <v>0.88125000000000009</v>
      </c>
      <c r="G781" s="125">
        <v>82510.867892045469</v>
      </c>
      <c r="H781" s="125">
        <v>93629.353636363638</v>
      </c>
      <c r="I781" s="126"/>
    </row>
    <row r="782" spans="1:9" x14ac:dyDescent="0.2">
      <c r="A782" s="40"/>
      <c r="B782" s="131"/>
      <c r="C782" s="124"/>
      <c r="D782" s="128" t="s">
        <v>946</v>
      </c>
      <c r="E782" s="124" t="s">
        <v>662</v>
      </c>
      <c r="F782" s="124">
        <v>0.27125000000000021</v>
      </c>
      <c r="G782" s="125">
        <v>25396.962173863656</v>
      </c>
      <c r="H782" s="125">
        <v>93629.353636363638</v>
      </c>
      <c r="I782" s="126"/>
    </row>
    <row r="783" spans="1:9" x14ac:dyDescent="0.2">
      <c r="A783" s="40"/>
      <c r="B783" s="49"/>
      <c r="C783" s="43"/>
      <c r="D783" s="44"/>
      <c r="E783" s="43"/>
      <c r="F783" s="43"/>
      <c r="G783" s="48">
        <v>0</v>
      </c>
      <c r="H783" s="48">
        <v>93629.353636363638</v>
      </c>
      <c r="I783" s="50"/>
    </row>
    <row r="784" spans="1:9" x14ac:dyDescent="0.2">
      <c r="A784" s="40">
        <v>128</v>
      </c>
      <c r="B784" s="49" t="s">
        <v>359</v>
      </c>
      <c r="C784" s="43">
        <v>25043</v>
      </c>
      <c r="D784" s="44"/>
      <c r="E784" s="43"/>
      <c r="F784" s="43"/>
      <c r="G784" s="48">
        <v>0</v>
      </c>
      <c r="H784" s="48">
        <v>93629.353636363638</v>
      </c>
      <c r="I784" s="50">
        <v>0</v>
      </c>
    </row>
    <row r="785" spans="1:9" x14ac:dyDescent="0.2">
      <c r="A785" s="40"/>
      <c r="B785" s="49"/>
      <c r="C785" s="43"/>
      <c r="D785" s="44"/>
      <c r="E785" s="43"/>
      <c r="F785" s="43"/>
      <c r="G785" s="48">
        <v>0</v>
      </c>
      <c r="H785" s="48">
        <v>93629.353636363638</v>
      </c>
      <c r="I785" s="50"/>
    </row>
    <row r="786" spans="1:9" x14ac:dyDescent="0.2">
      <c r="A786" s="40"/>
      <c r="B786" s="49"/>
      <c r="C786" s="43"/>
      <c r="D786" s="44"/>
      <c r="E786" s="43"/>
      <c r="F786" s="43"/>
      <c r="G786" s="48">
        <v>0</v>
      </c>
      <c r="H786" s="48">
        <v>93629.353636363638</v>
      </c>
      <c r="I786" s="50"/>
    </row>
    <row r="787" spans="1:9" x14ac:dyDescent="0.2">
      <c r="A787" s="40"/>
      <c r="B787" s="49"/>
      <c r="C787" s="43"/>
      <c r="D787" s="44"/>
      <c r="E787" s="43"/>
      <c r="F787" s="43"/>
      <c r="G787" s="48">
        <v>0</v>
      </c>
      <c r="H787" s="48">
        <v>93629.353636363638</v>
      </c>
      <c r="I787" s="50"/>
    </row>
    <row r="788" spans="1:9" x14ac:dyDescent="0.2">
      <c r="A788" s="40"/>
      <c r="B788" s="49"/>
      <c r="C788" s="43"/>
      <c r="D788" s="44"/>
      <c r="E788" s="43"/>
      <c r="F788" s="43"/>
      <c r="G788" s="48">
        <v>0</v>
      </c>
      <c r="H788" s="48">
        <v>93629.353636363638</v>
      </c>
      <c r="I788" s="50"/>
    </row>
    <row r="789" spans="1:9" x14ac:dyDescent="0.2">
      <c r="A789" s="40"/>
      <c r="B789" s="49"/>
      <c r="C789" s="43"/>
      <c r="D789" s="44"/>
      <c r="E789" s="43"/>
      <c r="F789" s="43"/>
      <c r="G789" s="48">
        <v>0</v>
      </c>
      <c r="H789" s="48">
        <v>93629.353636363638</v>
      </c>
      <c r="I789" s="50"/>
    </row>
    <row r="790" spans="1:9" x14ac:dyDescent="0.2">
      <c r="A790" s="40"/>
      <c r="B790" s="49"/>
      <c r="C790" s="43"/>
      <c r="D790" s="44"/>
      <c r="E790" s="43"/>
      <c r="F790" s="43"/>
      <c r="G790" s="48">
        <v>0</v>
      </c>
      <c r="H790" s="48">
        <v>93629.353636363638</v>
      </c>
      <c r="I790" s="50"/>
    </row>
    <row r="791" spans="1:9" x14ac:dyDescent="0.2">
      <c r="A791" s="40"/>
      <c r="B791" s="49"/>
      <c r="C791" s="43"/>
      <c r="D791" s="44"/>
      <c r="E791" s="43"/>
      <c r="F791" s="43"/>
      <c r="G791" s="48">
        <v>0</v>
      </c>
      <c r="H791" s="48">
        <v>93629.353636363638</v>
      </c>
      <c r="I791" s="50"/>
    </row>
    <row r="792" spans="1:9" x14ac:dyDescent="0.2">
      <c r="A792" s="40"/>
      <c r="B792" s="49"/>
      <c r="C792" s="43"/>
      <c r="D792" s="45"/>
      <c r="E792" s="43"/>
      <c r="F792" s="43"/>
      <c r="G792" s="48">
        <v>0</v>
      </c>
      <c r="H792" s="48">
        <v>93629.353636363638</v>
      </c>
      <c r="I792" s="50"/>
    </row>
    <row r="793" spans="1:9" x14ac:dyDescent="0.2">
      <c r="A793" s="40"/>
      <c r="B793" s="49"/>
      <c r="C793" s="43"/>
      <c r="D793" s="44"/>
      <c r="E793" s="43"/>
      <c r="F793" s="43"/>
      <c r="G793" s="48">
        <v>0</v>
      </c>
      <c r="H793" s="48">
        <v>93629.353636363638</v>
      </c>
      <c r="I793" s="50"/>
    </row>
    <row r="794" spans="1:9" x14ac:dyDescent="0.2">
      <c r="A794" s="40">
        <v>129</v>
      </c>
      <c r="B794" s="49" t="s">
        <v>356</v>
      </c>
      <c r="C794" s="43">
        <v>25047</v>
      </c>
      <c r="D794" s="44"/>
      <c r="E794" s="43"/>
      <c r="F794" s="43"/>
      <c r="G794" s="48">
        <v>0</v>
      </c>
      <c r="H794" s="48">
        <v>113636.36363636363</v>
      </c>
      <c r="I794" s="50">
        <v>0</v>
      </c>
    </row>
    <row r="795" spans="1:9" x14ac:dyDescent="0.2">
      <c r="A795" s="40">
        <v>130</v>
      </c>
      <c r="B795" s="131" t="s">
        <v>361</v>
      </c>
      <c r="C795" s="124">
        <v>25048</v>
      </c>
      <c r="D795" s="124" t="s">
        <v>938</v>
      </c>
      <c r="E795" s="124" t="s">
        <v>657</v>
      </c>
      <c r="F795" s="124">
        <v>1</v>
      </c>
      <c r="G795" s="125">
        <v>93629.353636363638</v>
      </c>
      <c r="H795" s="125">
        <v>93629.353636363638</v>
      </c>
      <c r="I795" s="126">
        <v>187258.70727272728</v>
      </c>
    </row>
    <row r="796" spans="1:9" x14ac:dyDescent="0.2">
      <c r="A796" s="40"/>
      <c r="B796" s="131"/>
      <c r="C796" s="124"/>
      <c r="D796" s="128" t="s">
        <v>939</v>
      </c>
      <c r="E796" s="124" t="s">
        <v>657</v>
      </c>
      <c r="F796" s="124">
        <v>1</v>
      </c>
      <c r="G796" s="125">
        <v>93629.353636363638</v>
      </c>
      <c r="H796" s="125">
        <v>93629.353636363638</v>
      </c>
      <c r="I796" s="126"/>
    </row>
    <row r="797" spans="1:9" x14ac:dyDescent="0.2">
      <c r="A797" s="40"/>
      <c r="B797" s="49"/>
      <c r="C797" s="43"/>
      <c r="D797" s="44"/>
      <c r="E797" s="43"/>
      <c r="F797" s="43"/>
      <c r="G797" s="48">
        <v>0</v>
      </c>
      <c r="H797" s="48">
        <v>93629.353636363638</v>
      </c>
      <c r="I797" s="50"/>
    </row>
    <row r="798" spans="1:9" x14ac:dyDescent="0.2">
      <c r="A798" s="40">
        <v>131</v>
      </c>
      <c r="B798" s="131" t="s">
        <v>369</v>
      </c>
      <c r="C798" s="124">
        <v>25049</v>
      </c>
      <c r="D798" s="128"/>
      <c r="E798" s="124" t="s">
        <v>660</v>
      </c>
      <c r="F798" s="124"/>
      <c r="G798" s="125">
        <v>483157</v>
      </c>
      <c r="H798" s="125"/>
      <c r="I798" s="126">
        <v>483157</v>
      </c>
    </row>
    <row r="799" spans="1:9" x14ac:dyDescent="0.2">
      <c r="A799" s="40"/>
      <c r="B799" s="49"/>
      <c r="C799" s="43"/>
      <c r="D799" s="44"/>
      <c r="E799" s="43"/>
      <c r="F799" s="43"/>
      <c r="G799" s="48"/>
      <c r="H799" s="48"/>
      <c r="I799" s="50"/>
    </row>
    <row r="800" spans="1:9" x14ac:dyDescent="0.2">
      <c r="A800" s="40">
        <v>132</v>
      </c>
      <c r="B800" s="49" t="s">
        <v>357</v>
      </c>
      <c r="C800" s="43">
        <v>24215</v>
      </c>
      <c r="D800" s="44" t="s">
        <v>939</v>
      </c>
      <c r="E800" s="43" t="s">
        <v>659</v>
      </c>
      <c r="F800" s="43">
        <v>1</v>
      </c>
      <c r="G800" s="48">
        <v>99481.188181818186</v>
      </c>
      <c r="H800" s="48">
        <v>99481.188181818186</v>
      </c>
      <c r="I800" s="50">
        <v>99481.188181818186</v>
      </c>
    </row>
    <row r="801" spans="1:9" x14ac:dyDescent="0.2">
      <c r="A801" s="40"/>
      <c r="B801" s="49"/>
      <c r="C801" s="43"/>
      <c r="D801" s="43"/>
      <c r="E801" s="43"/>
      <c r="F801" s="43"/>
      <c r="G801" s="48">
        <v>0</v>
      </c>
      <c r="H801" s="48">
        <v>99481.188181818186</v>
      </c>
      <c r="I801" s="50"/>
    </row>
    <row r="802" spans="1:9" x14ac:dyDescent="0.2">
      <c r="A802" s="40"/>
      <c r="B802" s="49"/>
      <c r="C802" s="43"/>
      <c r="D802" s="44"/>
      <c r="E802" s="43"/>
      <c r="F802" s="43"/>
      <c r="G802" s="48">
        <v>0</v>
      </c>
      <c r="H802" s="48">
        <v>99481.188181818186</v>
      </c>
      <c r="I802" s="50"/>
    </row>
    <row r="803" spans="1:9" x14ac:dyDescent="0.2">
      <c r="A803" s="40"/>
      <c r="B803" s="49"/>
      <c r="C803" s="43"/>
      <c r="D803" s="44"/>
      <c r="E803" s="43"/>
      <c r="F803" s="43"/>
      <c r="G803" s="48">
        <v>0</v>
      </c>
      <c r="H803" s="48">
        <v>99481.188181818186</v>
      </c>
      <c r="I803" s="50"/>
    </row>
    <row r="804" spans="1:9" x14ac:dyDescent="0.2">
      <c r="A804" s="40">
        <v>133</v>
      </c>
      <c r="B804" s="131" t="s">
        <v>381</v>
      </c>
      <c r="C804" s="124">
        <v>24238</v>
      </c>
      <c r="D804" s="128" t="s">
        <v>963</v>
      </c>
      <c r="E804" s="124" t="s">
        <v>658</v>
      </c>
      <c r="F804" s="124">
        <v>0.875</v>
      </c>
      <c r="G804" s="125">
        <v>87046.039659090908</v>
      </c>
      <c r="H804" s="125">
        <v>99481.188181818186</v>
      </c>
      <c r="I804" s="126">
        <v>87046.039659090908</v>
      </c>
    </row>
    <row r="805" spans="1:9" x14ac:dyDescent="0.2">
      <c r="A805" s="40"/>
      <c r="B805" s="49"/>
      <c r="C805" s="43"/>
      <c r="D805" s="44"/>
      <c r="E805" s="43"/>
      <c r="F805" s="43"/>
      <c r="G805" s="48">
        <v>0</v>
      </c>
      <c r="H805" s="48">
        <v>99481.188181818186</v>
      </c>
      <c r="I805" s="50"/>
    </row>
    <row r="806" spans="1:9" x14ac:dyDescent="0.2">
      <c r="A806" s="40"/>
      <c r="B806" s="49"/>
      <c r="C806" s="43"/>
      <c r="D806" s="44"/>
      <c r="E806" s="43"/>
      <c r="F806" s="43"/>
      <c r="G806" s="48">
        <v>0</v>
      </c>
      <c r="H806" s="48">
        <v>99481.188181818186</v>
      </c>
      <c r="I806" s="50"/>
    </row>
    <row r="807" spans="1:9" x14ac:dyDescent="0.2">
      <c r="A807" s="40"/>
      <c r="B807" s="49"/>
      <c r="C807" s="43"/>
      <c r="D807" s="44"/>
      <c r="E807" s="43"/>
      <c r="F807" s="43"/>
      <c r="G807" s="48">
        <v>0</v>
      </c>
      <c r="H807" s="48">
        <v>99481.188181818186</v>
      </c>
      <c r="I807" s="50"/>
    </row>
    <row r="808" spans="1:9" x14ac:dyDescent="0.2">
      <c r="A808" s="40"/>
      <c r="B808" s="49"/>
      <c r="C808" s="43"/>
      <c r="D808" s="44"/>
      <c r="E808" s="43"/>
      <c r="F808" s="43"/>
      <c r="G808" s="48">
        <v>0</v>
      </c>
      <c r="H808" s="48">
        <v>99481.188181818186</v>
      </c>
      <c r="I808" s="50"/>
    </row>
    <row r="809" spans="1:9" x14ac:dyDescent="0.2">
      <c r="A809" s="40"/>
      <c r="B809" s="49"/>
      <c r="C809" s="43"/>
      <c r="D809" s="43"/>
      <c r="E809" s="43"/>
      <c r="F809" s="43"/>
      <c r="G809" s="48">
        <v>0</v>
      </c>
      <c r="H809" s="48">
        <v>99481.188181818186</v>
      </c>
      <c r="I809" s="50"/>
    </row>
    <row r="810" spans="1:9" x14ac:dyDescent="0.2">
      <c r="A810" s="40"/>
      <c r="B810" s="49"/>
      <c r="C810" s="43"/>
      <c r="D810" s="43"/>
      <c r="E810" s="43"/>
      <c r="F810" s="43"/>
      <c r="G810" s="48">
        <v>0</v>
      </c>
      <c r="H810" s="48">
        <v>99481.188181818186</v>
      </c>
      <c r="I810" s="50"/>
    </row>
    <row r="811" spans="1:9" x14ac:dyDescent="0.2">
      <c r="A811" s="40"/>
      <c r="B811" s="49"/>
      <c r="C811" s="43"/>
      <c r="D811" s="44"/>
      <c r="E811" s="43"/>
      <c r="F811" s="43"/>
      <c r="G811" s="48">
        <v>0</v>
      </c>
      <c r="H811" s="48">
        <v>99481.188181818186</v>
      </c>
      <c r="I811" s="50"/>
    </row>
    <row r="812" spans="1:9" x14ac:dyDescent="0.2">
      <c r="A812" s="40"/>
      <c r="B812" s="49"/>
      <c r="C812" s="43"/>
      <c r="D812" s="44"/>
      <c r="E812" s="43"/>
      <c r="F812" s="43"/>
      <c r="G812" s="48">
        <v>0</v>
      </c>
      <c r="H812" s="48">
        <v>99481.188181818186</v>
      </c>
      <c r="I812" s="50"/>
    </row>
    <row r="813" spans="1:9" x14ac:dyDescent="0.2">
      <c r="A813" s="40"/>
      <c r="B813" s="49"/>
      <c r="C813" s="43"/>
      <c r="D813" s="44"/>
      <c r="E813" s="43"/>
      <c r="F813" s="43"/>
      <c r="G813" s="48">
        <v>0</v>
      </c>
      <c r="H813" s="48">
        <v>99481.188181818186</v>
      </c>
      <c r="I813" s="50"/>
    </row>
    <row r="814" spans="1:9" x14ac:dyDescent="0.2">
      <c r="A814" s="40">
        <v>134</v>
      </c>
      <c r="B814" s="131" t="s">
        <v>382</v>
      </c>
      <c r="C814" s="124">
        <v>24239</v>
      </c>
      <c r="D814" s="128" t="s">
        <v>950</v>
      </c>
      <c r="E814" s="124" t="s">
        <v>662</v>
      </c>
      <c r="F814" s="124">
        <v>0.31499999999999995</v>
      </c>
      <c r="G814" s="125">
        <v>31336.574277272724</v>
      </c>
      <c r="H814" s="125">
        <v>99481.188181818186</v>
      </c>
      <c r="I814" s="126">
        <v>31336.574277272724</v>
      </c>
    </row>
    <row r="815" spans="1:9" x14ac:dyDescent="0.2">
      <c r="A815" s="40"/>
      <c r="B815" s="49"/>
      <c r="C815" s="43"/>
      <c r="D815" s="44"/>
      <c r="E815" s="43"/>
      <c r="F815" s="43"/>
      <c r="G815" s="48">
        <v>0</v>
      </c>
      <c r="H815" s="48">
        <v>99481.188181818186</v>
      </c>
      <c r="I815" s="50"/>
    </row>
    <row r="816" spans="1:9" x14ac:dyDescent="0.2">
      <c r="A816" s="40">
        <v>135</v>
      </c>
      <c r="B816" s="49" t="s">
        <v>383</v>
      </c>
      <c r="C816" s="43">
        <v>24240</v>
      </c>
      <c r="D816" s="44"/>
      <c r="E816" s="43"/>
      <c r="F816" s="43"/>
      <c r="G816" s="48">
        <v>0</v>
      </c>
      <c r="H816" s="48">
        <v>99481.188181818186</v>
      </c>
      <c r="I816" s="50">
        <v>0</v>
      </c>
    </row>
    <row r="817" spans="1:9" x14ac:dyDescent="0.2">
      <c r="A817" s="40"/>
      <c r="B817" s="49"/>
      <c r="C817" s="43"/>
      <c r="D817" s="43"/>
      <c r="E817" s="43"/>
      <c r="F817" s="43"/>
      <c r="G817" s="48">
        <v>0</v>
      </c>
      <c r="H817" s="48">
        <v>99481.188181818186</v>
      </c>
      <c r="I817" s="50"/>
    </row>
    <row r="818" spans="1:9" x14ac:dyDescent="0.2">
      <c r="A818" s="40"/>
      <c r="B818" s="49"/>
      <c r="C818" s="43"/>
      <c r="D818" s="44"/>
      <c r="E818" s="43"/>
      <c r="F818" s="43"/>
      <c r="G818" s="48">
        <v>0</v>
      </c>
      <c r="H818" s="48">
        <v>99481.188181818186</v>
      </c>
      <c r="I818" s="50"/>
    </row>
    <row r="819" spans="1:9" x14ac:dyDescent="0.2">
      <c r="A819" s="40"/>
      <c r="B819" s="46"/>
      <c r="C819" s="43"/>
      <c r="D819" s="44"/>
      <c r="E819" s="43"/>
      <c r="F819" s="43"/>
      <c r="G819" s="48">
        <v>0</v>
      </c>
      <c r="H819" s="48">
        <v>99481.188181818186</v>
      </c>
      <c r="I819" s="50"/>
    </row>
    <row r="820" spans="1:9" x14ac:dyDescent="0.2">
      <c r="A820" s="40"/>
      <c r="B820" s="46"/>
      <c r="C820" s="43"/>
      <c r="D820" s="44"/>
      <c r="E820" s="43"/>
      <c r="F820" s="43"/>
      <c r="G820" s="48">
        <v>0</v>
      </c>
      <c r="H820" s="48">
        <v>99481.188181818186</v>
      </c>
      <c r="I820" s="50"/>
    </row>
    <row r="821" spans="1:9" x14ac:dyDescent="0.2">
      <c r="A821" s="40"/>
      <c r="B821" s="46"/>
      <c r="C821" s="43"/>
      <c r="D821" s="44"/>
      <c r="E821" s="43"/>
      <c r="F821" s="43"/>
      <c r="G821" s="48">
        <v>0</v>
      </c>
      <c r="H821" s="48">
        <v>99481.188181818186</v>
      </c>
      <c r="I821" s="50"/>
    </row>
    <row r="822" spans="1:9" x14ac:dyDescent="0.2">
      <c r="A822" s="40"/>
      <c r="B822" s="46"/>
      <c r="C822" s="43"/>
      <c r="D822" s="44"/>
      <c r="E822" s="43"/>
      <c r="F822" s="43"/>
      <c r="G822" s="48">
        <v>0</v>
      </c>
      <c r="H822" s="48">
        <v>99481.188181818186</v>
      </c>
      <c r="I822" s="50"/>
    </row>
    <row r="823" spans="1:9" x14ac:dyDescent="0.2">
      <c r="A823" s="40"/>
      <c r="B823" s="46"/>
      <c r="C823" s="43"/>
      <c r="D823" s="44"/>
      <c r="E823" s="43"/>
      <c r="F823" s="43"/>
      <c r="G823" s="48">
        <v>0</v>
      </c>
      <c r="H823" s="48">
        <v>99481.188181818186</v>
      </c>
      <c r="I823" s="50"/>
    </row>
    <row r="824" spans="1:9" x14ac:dyDescent="0.2">
      <c r="A824" s="40">
        <v>136</v>
      </c>
      <c r="B824" s="46" t="s">
        <v>384</v>
      </c>
      <c r="C824" s="43">
        <v>24241</v>
      </c>
      <c r="D824" s="44"/>
      <c r="E824" s="43"/>
      <c r="F824" s="43"/>
      <c r="G824" s="48">
        <v>0</v>
      </c>
      <c r="H824" s="48">
        <v>99481.188181818186</v>
      </c>
      <c r="I824" s="50">
        <v>0</v>
      </c>
    </row>
    <row r="825" spans="1:9" x14ac:dyDescent="0.2">
      <c r="A825" s="40"/>
      <c r="B825" s="46"/>
      <c r="C825" s="43"/>
      <c r="D825" s="44"/>
      <c r="E825" s="43"/>
      <c r="F825" s="43"/>
      <c r="G825" s="48">
        <v>0</v>
      </c>
      <c r="H825" s="48">
        <v>99481.188181818186</v>
      </c>
      <c r="I825" s="50"/>
    </row>
    <row r="826" spans="1:9" x14ac:dyDescent="0.2">
      <c r="A826" s="40"/>
      <c r="B826" s="46"/>
      <c r="C826" s="43"/>
      <c r="D826" s="43"/>
      <c r="E826" s="43"/>
      <c r="F826" s="43"/>
      <c r="G826" s="48">
        <v>0</v>
      </c>
      <c r="H826" s="48">
        <v>99481.188181818186</v>
      </c>
      <c r="I826" s="50"/>
    </row>
    <row r="827" spans="1:9" x14ac:dyDescent="0.2">
      <c r="A827" s="40"/>
      <c r="B827" s="46"/>
      <c r="C827" s="43"/>
      <c r="D827" s="43"/>
      <c r="E827" s="43"/>
      <c r="F827" s="43"/>
      <c r="G827" s="48">
        <v>0</v>
      </c>
      <c r="H827" s="48">
        <v>99481.188181818186</v>
      </c>
      <c r="I827" s="50"/>
    </row>
    <row r="828" spans="1:9" x14ac:dyDescent="0.2">
      <c r="A828" s="40"/>
      <c r="B828" s="46"/>
      <c r="C828" s="43"/>
      <c r="D828" s="44"/>
      <c r="E828" s="43"/>
      <c r="F828" s="43"/>
      <c r="G828" s="48">
        <v>0</v>
      </c>
      <c r="H828" s="48">
        <v>99481.188181818186</v>
      </c>
      <c r="I828" s="50"/>
    </row>
    <row r="829" spans="1:9" x14ac:dyDescent="0.2">
      <c r="A829" s="40"/>
      <c r="B829" s="46"/>
      <c r="C829" s="43"/>
      <c r="D829" s="44"/>
      <c r="E829" s="43"/>
      <c r="F829" s="43"/>
      <c r="G829" s="48">
        <v>0</v>
      </c>
      <c r="H829" s="48">
        <v>99481.188181818186</v>
      </c>
      <c r="I829" s="50"/>
    </row>
    <row r="830" spans="1:9" x14ac:dyDescent="0.2">
      <c r="A830" s="40">
        <v>137</v>
      </c>
      <c r="B830" s="123" t="s">
        <v>385</v>
      </c>
      <c r="C830" s="124">
        <v>24242</v>
      </c>
      <c r="D830" s="128" t="s">
        <v>965</v>
      </c>
      <c r="E830" s="124" t="s">
        <v>659</v>
      </c>
      <c r="F830" s="124">
        <v>1</v>
      </c>
      <c r="G830" s="125">
        <v>99481.188181818186</v>
      </c>
      <c r="H830" s="125">
        <v>99481.188181818186</v>
      </c>
      <c r="I830" s="126">
        <v>99481.188181818186</v>
      </c>
    </row>
    <row r="831" spans="1:9" x14ac:dyDescent="0.2">
      <c r="A831" s="40"/>
      <c r="B831" s="46"/>
      <c r="C831" s="43"/>
      <c r="D831" s="44"/>
      <c r="E831" s="43"/>
      <c r="F831" s="43"/>
      <c r="G831" s="48">
        <v>0</v>
      </c>
      <c r="H831" s="48">
        <v>99481.188181818186</v>
      </c>
      <c r="I831" s="50"/>
    </row>
    <row r="832" spans="1:9" x14ac:dyDescent="0.2">
      <c r="A832" s="40"/>
      <c r="B832" s="46"/>
      <c r="C832" s="43"/>
      <c r="D832" s="44"/>
      <c r="E832" s="43"/>
      <c r="F832" s="43"/>
      <c r="G832" s="48">
        <v>0</v>
      </c>
      <c r="H832" s="48">
        <v>99481.188181818186</v>
      </c>
      <c r="I832" s="50"/>
    </row>
    <row r="833" spans="1:9" x14ac:dyDescent="0.2">
      <c r="A833" s="40"/>
      <c r="B833" s="46"/>
      <c r="C833" s="43"/>
      <c r="D833" s="44"/>
      <c r="E833" s="43"/>
      <c r="F833" s="43"/>
      <c r="G833" s="48">
        <v>0</v>
      </c>
      <c r="H833" s="48">
        <v>99481.188181818186</v>
      </c>
      <c r="I833" s="50"/>
    </row>
    <row r="834" spans="1:9" x14ac:dyDescent="0.2">
      <c r="A834" s="40"/>
      <c r="B834" s="46"/>
      <c r="C834" s="43"/>
      <c r="D834" s="43"/>
      <c r="E834" s="43"/>
      <c r="F834" s="43"/>
      <c r="G834" s="48">
        <v>0</v>
      </c>
      <c r="H834" s="48">
        <v>99481.188181818186</v>
      </c>
      <c r="I834" s="50"/>
    </row>
    <row r="835" spans="1:9" x14ac:dyDescent="0.2">
      <c r="A835" s="40"/>
      <c r="B835" s="46"/>
      <c r="C835" s="43"/>
      <c r="D835" s="44"/>
      <c r="E835" s="43"/>
      <c r="F835" s="43"/>
      <c r="G835" s="48">
        <v>0</v>
      </c>
      <c r="H835" s="48">
        <v>99481.188181818186</v>
      </c>
      <c r="I835" s="50"/>
    </row>
    <row r="836" spans="1:9" x14ac:dyDescent="0.2">
      <c r="A836" s="40"/>
      <c r="B836" s="46"/>
      <c r="C836" s="43"/>
      <c r="D836" s="43"/>
      <c r="E836" s="43"/>
      <c r="F836" s="43"/>
      <c r="G836" s="48">
        <v>0</v>
      </c>
      <c r="H836" s="48">
        <v>99481.188181818186</v>
      </c>
      <c r="I836" s="50"/>
    </row>
    <row r="837" spans="1:9" x14ac:dyDescent="0.2">
      <c r="A837" s="40"/>
      <c r="B837" s="46"/>
      <c r="C837" s="43"/>
      <c r="D837" s="43"/>
      <c r="E837" s="43"/>
      <c r="F837" s="43"/>
      <c r="G837" s="48">
        <v>0</v>
      </c>
      <c r="H837" s="48">
        <v>99481.188181818186</v>
      </c>
      <c r="I837" s="50"/>
    </row>
    <row r="838" spans="1:9" x14ac:dyDescent="0.2">
      <c r="A838" s="40">
        <v>138</v>
      </c>
      <c r="B838" s="46" t="s">
        <v>386</v>
      </c>
      <c r="C838" s="43">
        <v>24243</v>
      </c>
      <c r="D838" s="43"/>
      <c r="E838" s="43"/>
      <c r="F838" s="43"/>
      <c r="G838" s="48">
        <v>0</v>
      </c>
      <c r="H838" s="48">
        <v>99481.188181818186</v>
      </c>
      <c r="I838" s="50">
        <v>0</v>
      </c>
    </row>
    <row r="839" spans="1:9" x14ac:dyDescent="0.2">
      <c r="A839" s="40"/>
      <c r="B839" s="46"/>
      <c r="C839" s="43"/>
      <c r="D839" s="44"/>
      <c r="E839" s="43"/>
      <c r="F839" s="43"/>
      <c r="G839" s="48">
        <v>0</v>
      </c>
      <c r="H839" s="48">
        <v>99481.188181818186</v>
      </c>
      <c r="I839" s="50"/>
    </row>
    <row r="840" spans="1:9" x14ac:dyDescent="0.2">
      <c r="A840" s="40"/>
      <c r="B840" s="46"/>
      <c r="C840" s="43"/>
      <c r="D840" s="44"/>
      <c r="E840" s="43"/>
      <c r="F840" s="43"/>
      <c r="G840" s="48">
        <v>0</v>
      </c>
      <c r="H840" s="48">
        <v>99481.188181818186</v>
      </c>
      <c r="I840" s="50"/>
    </row>
    <row r="841" spans="1:9" x14ac:dyDescent="0.2">
      <c r="A841" s="40"/>
      <c r="B841" s="46"/>
      <c r="C841" s="43"/>
      <c r="D841" s="43"/>
      <c r="E841" s="43"/>
      <c r="F841" s="43"/>
      <c r="G841" s="48">
        <v>0</v>
      </c>
      <c r="H841" s="48">
        <v>99481.188181818186</v>
      </c>
      <c r="I841" s="50"/>
    </row>
    <row r="842" spans="1:9" x14ac:dyDescent="0.2">
      <c r="A842" s="40"/>
      <c r="B842" s="46"/>
      <c r="C842" s="43"/>
      <c r="D842" s="44"/>
      <c r="E842" s="43"/>
      <c r="F842" s="43"/>
      <c r="G842" s="48">
        <v>0</v>
      </c>
      <c r="H842" s="48">
        <v>99481.188181818186</v>
      </c>
      <c r="I842" s="50"/>
    </row>
    <row r="843" spans="1:9" x14ac:dyDescent="0.2">
      <c r="A843" s="40"/>
      <c r="B843" s="46"/>
      <c r="C843" s="43"/>
      <c r="D843" s="44"/>
      <c r="E843" s="43"/>
      <c r="F843" s="43"/>
      <c r="G843" s="48">
        <v>0</v>
      </c>
      <c r="H843" s="48">
        <v>99481.188181818186</v>
      </c>
      <c r="I843" s="50"/>
    </row>
    <row r="844" spans="1:9" x14ac:dyDescent="0.2">
      <c r="A844" s="40"/>
      <c r="B844" s="46"/>
      <c r="C844" s="43"/>
      <c r="D844" s="44"/>
      <c r="E844" s="43"/>
      <c r="F844" s="43"/>
      <c r="G844" s="48">
        <v>0</v>
      </c>
      <c r="H844" s="48">
        <v>99481.188181818186</v>
      </c>
      <c r="I844" s="50"/>
    </row>
    <row r="845" spans="1:9" x14ac:dyDescent="0.2">
      <c r="A845" s="40">
        <v>139</v>
      </c>
      <c r="B845" s="123" t="s">
        <v>586</v>
      </c>
      <c r="C845" s="124">
        <v>24250</v>
      </c>
      <c r="D845" s="128" t="s">
        <v>949</v>
      </c>
      <c r="E845" s="124" t="s">
        <v>657</v>
      </c>
      <c r="F845" s="124">
        <v>1</v>
      </c>
      <c r="G845" s="125">
        <v>93629.353636363638</v>
      </c>
      <c r="H845" s="125">
        <v>93629.353636363638</v>
      </c>
      <c r="I845" s="126">
        <v>93629.353636363638</v>
      </c>
    </row>
    <row r="846" spans="1:9" x14ac:dyDescent="0.2">
      <c r="A846" s="40"/>
      <c r="B846" s="46"/>
      <c r="C846" s="43"/>
      <c r="D846" s="44"/>
      <c r="E846" s="43"/>
      <c r="F846" s="43"/>
      <c r="G846" s="48">
        <v>0</v>
      </c>
      <c r="H846" s="48">
        <v>93629.353636363638</v>
      </c>
      <c r="I846" s="50"/>
    </row>
    <row r="847" spans="1:9" x14ac:dyDescent="0.2">
      <c r="A847" s="40"/>
      <c r="B847" s="46"/>
      <c r="C847" s="43"/>
      <c r="D847" s="44"/>
      <c r="E847" s="43"/>
      <c r="F847" s="43"/>
      <c r="G847" s="48">
        <v>0</v>
      </c>
      <c r="H847" s="48">
        <v>93629.353636363638</v>
      </c>
      <c r="I847" s="50"/>
    </row>
    <row r="848" spans="1:9" x14ac:dyDescent="0.2">
      <c r="A848" s="40">
        <v>140</v>
      </c>
      <c r="B848" s="123" t="s">
        <v>390</v>
      </c>
      <c r="C848" s="124">
        <v>24247</v>
      </c>
      <c r="D848" s="128" t="s">
        <v>963</v>
      </c>
      <c r="E848" s="124" t="s">
        <v>659</v>
      </c>
      <c r="F848" s="124">
        <v>1</v>
      </c>
      <c r="G848" s="125">
        <v>93629.353636363638</v>
      </c>
      <c r="H848" s="125">
        <v>93629.353636363638</v>
      </c>
      <c r="I848" s="126">
        <v>93629.353636363638</v>
      </c>
    </row>
    <row r="849" spans="1:9" x14ac:dyDescent="0.2">
      <c r="A849" s="40"/>
      <c r="B849" s="46"/>
      <c r="C849" s="43"/>
      <c r="D849" s="44"/>
      <c r="E849" s="43"/>
      <c r="F849" s="43"/>
      <c r="G849" s="48">
        <v>0</v>
      </c>
      <c r="H849" s="48">
        <v>93629.353636363638</v>
      </c>
      <c r="I849" s="50"/>
    </row>
    <row r="850" spans="1:9" x14ac:dyDescent="0.2">
      <c r="A850" s="40"/>
      <c r="B850" s="46"/>
      <c r="C850" s="43"/>
      <c r="D850" s="44"/>
      <c r="E850" s="43"/>
      <c r="F850" s="43"/>
      <c r="G850" s="48">
        <v>0</v>
      </c>
      <c r="H850" s="48">
        <v>93629.353636363638</v>
      </c>
      <c r="I850" s="50"/>
    </row>
    <row r="851" spans="1:9" x14ac:dyDescent="0.2">
      <c r="A851" s="40"/>
      <c r="B851" s="46"/>
      <c r="C851" s="43"/>
      <c r="D851" s="44"/>
      <c r="E851" s="43"/>
      <c r="F851" s="43"/>
      <c r="G851" s="48">
        <v>0</v>
      </c>
      <c r="H851" s="48">
        <v>93629.353636363638</v>
      </c>
      <c r="I851" s="50"/>
    </row>
    <row r="852" spans="1:9" x14ac:dyDescent="0.2">
      <c r="A852" s="40">
        <v>141</v>
      </c>
      <c r="B852" s="123" t="s">
        <v>391</v>
      </c>
      <c r="C852" s="124">
        <v>24248</v>
      </c>
      <c r="D852" s="128" t="s">
        <v>957</v>
      </c>
      <c r="E852" s="124" t="s">
        <v>658</v>
      </c>
      <c r="F852" s="124">
        <v>0.875</v>
      </c>
      <c r="G852" s="125">
        <v>81925.684431818183</v>
      </c>
      <c r="H852" s="125">
        <v>93629.353636363638</v>
      </c>
      <c r="I852" s="126">
        <v>175555.03806818184</v>
      </c>
    </row>
    <row r="853" spans="1:9" x14ac:dyDescent="0.2">
      <c r="A853" s="40"/>
      <c r="B853" s="123"/>
      <c r="C853" s="124"/>
      <c r="D853" s="128" t="s">
        <v>945</v>
      </c>
      <c r="E853" s="124" t="s">
        <v>658</v>
      </c>
      <c r="F853" s="124">
        <v>1</v>
      </c>
      <c r="G853" s="125">
        <v>93629.353636363638</v>
      </c>
      <c r="H853" s="125">
        <v>93629.353636363638</v>
      </c>
      <c r="I853" s="126"/>
    </row>
    <row r="854" spans="1:9" x14ac:dyDescent="0.2">
      <c r="A854" s="40"/>
      <c r="B854" s="46"/>
      <c r="C854" s="43"/>
      <c r="D854" s="44"/>
      <c r="E854" s="43"/>
      <c r="F854" s="43"/>
      <c r="G854" s="48">
        <v>0</v>
      </c>
      <c r="H854" s="48">
        <v>93629.353636363638</v>
      </c>
      <c r="I854" s="50"/>
    </row>
    <row r="855" spans="1:9" x14ac:dyDescent="0.2">
      <c r="A855" s="40"/>
      <c r="B855" s="46"/>
      <c r="C855" s="43"/>
      <c r="D855" s="43"/>
      <c r="E855" s="43"/>
      <c r="F855" s="43"/>
      <c r="G855" s="48">
        <v>0</v>
      </c>
      <c r="H855" s="48">
        <v>93629.353636363638</v>
      </c>
      <c r="I855" s="50"/>
    </row>
    <row r="856" spans="1:9" x14ac:dyDescent="0.2">
      <c r="A856" s="40"/>
      <c r="B856" s="46"/>
      <c r="C856" s="43"/>
      <c r="D856" s="44"/>
      <c r="E856" s="43"/>
      <c r="F856" s="43"/>
      <c r="G856" s="48">
        <v>0</v>
      </c>
      <c r="H856" s="48">
        <v>93629.353636363638</v>
      </c>
      <c r="I856" s="50"/>
    </row>
    <row r="857" spans="1:9" x14ac:dyDescent="0.2">
      <c r="A857" s="40">
        <v>142</v>
      </c>
      <c r="B857" s="123" t="s">
        <v>392</v>
      </c>
      <c r="C857" s="124">
        <v>25050</v>
      </c>
      <c r="D857" s="128" t="s">
        <v>939</v>
      </c>
      <c r="E857" s="124" t="s">
        <v>657</v>
      </c>
      <c r="F857" s="124">
        <v>1</v>
      </c>
      <c r="G857" s="125">
        <v>93629.353636363638</v>
      </c>
      <c r="H857" s="125">
        <v>93629.353636363638</v>
      </c>
      <c r="I857" s="126">
        <v>93629.353636363638</v>
      </c>
    </row>
    <row r="858" spans="1:9" x14ac:dyDescent="0.2">
      <c r="A858" s="40"/>
      <c r="B858" s="46"/>
      <c r="C858" s="43"/>
      <c r="D858" s="44"/>
      <c r="E858" s="43"/>
      <c r="F858" s="43"/>
      <c r="G858" s="48">
        <v>0</v>
      </c>
      <c r="H858" s="48">
        <v>93629.353636363638</v>
      </c>
      <c r="I858" s="50"/>
    </row>
    <row r="859" spans="1:9" x14ac:dyDescent="0.2">
      <c r="A859" s="40"/>
      <c r="B859" s="46"/>
      <c r="C859" s="43"/>
      <c r="D859" s="44"/>
      <c r="E859" s="43"/>
      <c r="F859" s="43"/>
      <c r="G859" s="48">
        <v>0</v>
      </c>
      <c r="H859" s="48">
        <v>93629.353636363638</v>
      </c>
      <c r="I859" s="50"/>
    </row>
    <row r="860" spans="1:9" x14ac:dyDescent="0.2">
      <c r="A860" s="40"/>
      <c r="B860" s="46"/>
      <c r="C860" s="43"/>
      <c r="D860" s="44"/>
      <c r="E860" s="43"/>
      <c r="F860" s="43"/>
      <c r="G860" s="48">
        <v>0</v>
      </c>
      <c r="H860" s="48">
        <v>93629.353636363638</v>
      </c>
      <c r="I860" s="50"/>
    </row>
    <row r="861" spans="1:9" x14ac:dyDescent="0.2">
      <c r="A861" s="40"/>
      <c r="B861" s="46"/>
      <c r="C861" s="43"/>
      <c r="D861" s="44"/>
      <c r="E861" s="43"/>
      <c r="F861" s="43"/>
      <c r="G861" s="48">
        <v>0</v>
      </c>
      <c r="H861" s="48">
        <v>93629.353636363638</v>
      </c>
      <c r="I861" s="50"/>
    </row>
    <row r="862" spans="1:9" x14ac:dyDescent="0.2">
      <c r="A862" s="40"/>
      <c r="B862" s="46"/>
      <c r="C862" s="43"/>
      <c r="D862" s="44"/>
      <c r="E862" s="43"/>
      <c r="F862" s="43"/>
      <c r="G862" s="48">
        <v>0</v>
      </c>
      <c r="H862" s="48">
        <v>93629.353636363638</v>
      </c>
      <c r="I862" s="50"/>
    </row>
    <row r="863" spans="1:9" x14ac:dyDescent="0.2">
      <c r="A863" s="40">
        <v>143</v>
      </c>
      <c r="B863" s="46" t="s">
        <v>389</v>
      </c>
      <c r="C863" s="43">
        <v>24246</v>
      </c>
      <c r="D863" s="44"/>
      <c r="E863" s="43"/>
      <c r="F863" s="43"/>
      <c r="G863" s="48">
        <v>0</v>
      </c>
      <c r="H863" s="48">
        <v>136363.63636363635</v>
      </c>
      <c r="I863" s="50">
        <v>0</v>
      </c>
    </row>
    <row r="864" spans="1:9" x14ac:dyDescent="0.2">
      <c r="A864" s="40"/>
      <c r="B864" s="46"/>
      <c r="C864" s="43"/>
      <c r="D864" s="44"/>
      <c r="E864" s="43"/>
      <c r="F864" s="43"/>
      <c r="G864" s="48">
        <v>0</v>
      </c>
      <c r="H864" s="48">
        <v>136363.63636363635</v>
      </c>
      <c r="I864" s="50"/>
    </row>
    <row r="865" spans="1:9" x14ac:dyDescent="0.2">
      <c r="A865" s="40"/>
      <c r="B865" s="46"/>
      <c r="C865" s="43"/>
      <c r="D865" s="44"/>
      <c r="E865" s="43"/>
      <c r="F865" s="43"/>
      <c r="G865" s="48">
        <v>0</v>
      </c>
      <c r="H865" s="48">
        <v>136363.63636363635</v>
      </c>
      <c r="I865" s="50"/>
    </row>
    <row r="866" spans="1:9" x14ac:dyDescent="0.2">
      <c r="A866" s="40"/>
      <c r="B866" s="46"/>
      <c r="C866" s="43"/>
      <c r="D866" s="44"/>
      <c r="E866" s="43"/>
      <c r="F866" s="43"/>
      <c r="G866" s="48">
        <v>0</v>
      </c>
      <c r="H866" s="48">
        <v>136363.63636363635</v>
      </c>
      <c r="I866" s="50"/>
    </row>
    <row r="867" spans="1:9" x14ac:dyDescent="0.2">
      <c r="A867" s="40"/>
      <c r="B867" s="46"/>
      <c r="C867" s="43"/>
      <c r="D867" s="44"/>
      <c r="E867" s="43"/>
      <c r="F867" s="43"/>
      <c r="G867" s="48">
        <v>0</v>
      </c>
      <c r="H867" s="48">
        <v>136363.63636363635</v>
      </c>
      <c r="I867" s="50"/>
    </row>
    <row r="868" spans="1:9" x14ac:dyDescent="0.2">
      <c r="A868" s="40">
        <v>144</v>
      </c>
      <c r="B868" s="46" t="s">
        <v>387</v>
      </c>
      <c r="C868" s="43">
        <v>24244</v>
      </c>
      <c r="D868" s="43"/>
      <c r="E868" s="43"/>
      <c r="F868" s="43"/>
      <c r="G868" s="48">
        <v>0</v>
      </c>
      <c r="H868" s="48">
        <v>136363.63636363635</v>
      </c>
      <c r="I868" s="50">
        <v>0</v>
      </c>
    </row>
    <row r="869" spans="1:9" x14ac:dyDescent="0.2">
      <c r="A869" s="40"/>
      <c r="B869" s="46"/>
      <c r="C869" s="43"/>
      <c r="D869" s="43"/>
      <c r="E869" s="43"/>
      <c r="F869" s="43"/>
      <c r="G869" s="48">
        <v>0</v>
      </c>
      <c r="H869" s="48">
        <v>136363.63636363635</v>
      </c>
      <c r="I869" s="50"/>
    </row>
    <row r="870" spans="1:9" x14ac:dyDescent="0.2">
      <c r="A870" s="40"/>
      <c r="B870" s="46"/>
      <c r="C870" s="43"/>
      <c r="D870" s="45"/>
      <c r="E870" s="43"/>
      <c r="F870" s="43"/>
      <c r="G870" s="48">
        <v>0</v>
      </c>
      <c r="H870" s="48">
        <v>136363.63636363635</v>
      </c>
      <c r="I870" s="50"/>
    </row>
    <row r="871" spans="1:9" x14ac:dyDescent="0.2">
      <c r="A871" s="40"/>
      <c r="B871" s="46"/>
      <c r="C871" s="43"/>
      <c r="D871" s="45"/>
      <c r="E871" s="43"/>
      <c r="F871" s="43"/>
      <c r="G871" s="48">
        <v>0</v>
      </c>
      <c r="H871" s="48">
        <v>136363.63636363635</v>
      </c>
      <c r="I871" s="50"/>
    </row>
    <row r="872" spans="1:9" x14ac:dyDescent="0.2">
      <c r="A872" s="40"/>
      <c r="B872" s="46"/>
      <c r="C872" s="43"/>
      <c r="D872" s="43"/>
      <c r="E872" s="43"/>
      <c r="F872" s="43"/>
      <c r="G872" s="48">
        <v>0</v>
      </c>
      <c r="H872" s="48">
        <v>136363.63636363635</v>
      </c>
      <c r="I872" s="50"/>
    </row>
    <row r="873" spans="1:9" x14ac:dyDescent="0.2">
      <c r="A873" s="40"/>
      <c r="B873" s="46"/>
      <c r="C873" s="43"/>
      <c r="D873" s="44"/>
      <c r="E873" s="43"/>
      <c r="F873" s="43"/>
      <c r="G873" s="48">
        <v>0</v>
      </c>
      <c r="H873" s="48">
        <v>136363.63636363635</v>
      </c>
      <c r="I873" s="50"/>
    </row>
    <row r="874" spans="1:9" x14ac:dyDescent="0.2">
      <c r="A874" s="40">
        <v>145</v>
      </c>
      <c r="B874" s="46" t="s">
        <v>360</v>
      </c>
      <c r="C874" s="43">
        <v>25046</v>
      </c>
      <c r="D874" s="44"/>
      <c r="E874" s="43"/>
      <c r="F874" s="43"/>
      <c r="G874" s="48">
        <v>0</v>
      </c>
      <c r="H874" s="48">
        <v>99173.553719008254</v>
      </c>
      <c r="I874" s="50">
        <v>0</v>
      </c>
    </row>
    <row r="875" spans="1:9" x14ac:dyDescent="0.2">
      <c r="A875" s="40"/>
      <c r="B875" s="46"/>
      <c r="C875" s="43"/>
      <c r="D875" s="44"/>
      <c r="E875" s="43"/>
      <c r="F875" s="43"/>
      <c r="G875" s="48">
        <v>0</v>
      </c>
      <c r="H875" s="48">
        <v>136363.63636363635</v>
      </c>
      <c r="I875" s="50"/>
    </row>
    <row r="876" spans="1:9" x14ac:dyDescent="0.2">
      <c r="A876" s="40"/>
      <c r="B876" s="46"/>
      <c r="C876" s="43"/>
      <c r="D876" s="44"/>
      <c r="E876" s="43"/>
      <c r="F876" s="43"/>
      <c r="G876" s="48">
        <v>0</v>
      </c>
      <c r="H876" s="48">
        <v>136363.63636363635</v>
      </c>
      <c r="I876" s="50"/>
    </row>
    <row r="877" spans="1:9" x14ac:dyDescent="0.2">
      <c r="A877" s="40"/>
      <c r="B877" s="46"/>
      <c r="C877" s="43"/>
      <c r="D877" s="43"/>
      <c r="E877" s="43"/>
      <c r="F877" s="43"/>
      <c r="G877" s="48">
        <v>0</v>
      </c>
      <c r="H877" s="48">
        <v>136363.63636363635</v>
      </c>
      <c r="I877" s="50"/>
    </row>
    <row r="878" spans="1:9" x14ac:dyDescent="0.2">
      <c r="A878" s="40"/>
      <c r="B878" s="46"/>
      <c r="C878" s="43"/>
      <c r="D878" s="43"/>
      <c r="E878" s="43"/>
      <c r="F878" s="43"/>
      <c r="G878" s="48">
        <v>0</v>
      </c>
      <c r="H878" s="48">
        <v>136363.63636363635</v>
      </c>
      <c r="I878" s="50"/>
    </row>
    <row r="879" spans="1:9" x14ac:dyDescent="0.2">
      <c r="A879" s="40"/>
      <c r="B879" s="46"/>
      <c r="C879" s="43"/>
      <c r="D879" s="43"/>
      <c r="E879" s="43"/>
      <c r="F879" s="43"/>
      <c r="G879" s="48">
        <v>0</v>
      </c>
      <c r="H879" s="48">
        <v>136363.63636363635</v>
      </c>
      <c r="I879" s="50"/>
    </row>
    <row r="880" spans="1:9" x14ac:dyDescent="0.2">
      <c r="A880" s="40">
        <v>146</v>
      </c>
      <c r="B880" s="46" t="s">
        <v>388</v>
      </c>
      <c r="C880" s="43">
        <v>24245</v>
      </c>
      <c r="D880" s="43"/>
      <c r="E880" s="43"/>
      <c r="F880" s="43"/>
      <c r="G880" s="48">
        <v>0</v>
      </c>
      <c r="H880" s="48">
        <v>136363.63636363635</v>
      </c>
      <c r="I880" s="50">
        <v>0</v>
      </c>
    </row>
    <row r="881" spans="1:9" x14ac:dyDescent="0.2">
      <c r="A881" s="40"/>
      <c r="B881" s="46"/>
      <c r="C881" s="43"/>
      <c r="D881" s="43"/>
      <c r="E881" s="43"/>
      <c r="F881" s="43"/>
      <c r="G881" s="48">
        <v>0</v>
      </c>
      <c r="H881" s="48">
        <v>136363.63636363635</v>
      </c>
      <c r="I881" s="50"/>
    </row>
    <row r="882" spans="1:9" x14ac:dyDescent="0.2">
      <c r="A882" s="40"/>
      <c r="B882" s="46"/>
      <c r="C882" s="43"/>
      <c r="D882" s="44"/>
      <c r="E882" s="43"/>
      <c r="F882" s="43"/>
      <c r="G882" s="48">
        <v>0</v>
      </c>
      <c r="H882" s="48">
        <v>136363.63636363635</v>
      </c>
      <c r="I882" s="50"/>
    </row>
    <row r="883" spans="1:9" x14ac:dyDescent="0.2">
      <c r="A883" s="40"/>
      <c r="B883" s="46"/>
      <c r="C883" s="43"/>
      <c r="D883" s="44"/>
      <c r="E883" s="43"/>
      <c r="F883" s="43"/>
      <c r="G883" s="48">
        <v>0</v>
      </c>
      <c r="H883" s="48">
        <v>136363.63636363635</v>
      </c>
      <c r="I883" s="50"/>
    </row>
    <row r="884" spans="1:9" x14ac:dyDescent="0.2">
      <c r="A884" s="40"/>
      <c r="B884" s="46"/>
      <c r="C884" s="43"/>
      <c r="D884" s="44"/>
      <c r="E884" s="43"/>
      <c r="F884" s="43"/>
      <c r="G884" s="48">
        <v>0</v>
      </c>
      <c r="H884" s="48">
        <v>136363.63636363635</v>
      </c>
      <c r="I884" s="50"/>
    </row>
    <row r="885" spans="1:9" x14ac:dyDescent="0.2">
      <c r="A885" s="40"/>
      <c r="B885" s="46"/>
      <c r="C885" s="43"/>
      <c r="D885" s="44"/>
      <c r="E885" s="43"/>
      <c r="F885" s="43"/>
      <c r="G885" s="48">
        <v>0</v>
      </c>
      <c r="H885" s="48">
        <v>136363.63636363635</v>
      </c>
      <c r="I885" s="50"/>
    </row>
    <row r="886" spans="1:9" x14ac:dyDescent="0.2">
      <c r="A886" s="40"/>
      <c r="B886" s="46"/>
      <c r="C886" s="43"/>
      <c r="D886" s="43"/>
      <c r="E886" s="43"/>
      <c r="F886" s="43"/>
      <c r="G886" s="48">
        <v>0</v>
      </c>
      <c r="H886" s="48">
        <v>136363.63636363635</v>
      </c>
      <c r="I886" s="50"/>
    </row>
    <row r="887" spans="1:9" x14ac:dyDescent="0.2">
      <c r="A887" s="40"/>
      <c r="B887" s="46"/>
      <c r="C887" s="43"/>
      <c r="D887" s="43"/>
      <c r="E887" s="43"/>
      <c r="F887" s="43"/>
      <c r="G887" s="48">
        <v>0</v>
      </c>
      <c r="H887" s="48">
        <v>136363.63636363635</v>
      </c>
      <c r="I887" s="50"/>
    </row>
    <row r="888" spans="1:9" x14ac:dyDescent="0.2">
      <c r="A888" s="40"/>
      <c r="B888" s="46"/>
      <c r="C888" s="43"/>
      <c r="D888" s="44"/>
      <c r="E888" s="43"/>
      <c r="F888" s="43"/>
      <c r="G888" s="48">
        <v>0</v>
      </c>
      <c r="H888" s="48">
        <v>136363.63636363635</v>
      </c>
      <c r="I888" s="50"/>
    </row>
    <row r="889" spans="1:9" x14ac:dyDescent="0.2">
      <c r="A889" s="40"/>
      <c r="B889" s="46"/>
      <c r="C889" s="43"/>
      <c r="D889" s="44"/>
      <c r="E889" s="43"/>
      <c r="F889" s="43"/>
      <c r="G889" s="48">
        <v>0</v>
      </c>
      <c r="H889" s="48">
        <v>136363.63636363635</v>
      </c>
      <c r="I889" s="50"/>
    </row>
    <row r="890" spans="1:9" x14ac:dyDescent="0.2">
      <c r="A890" s="40"/>
      <c r="B890" s="46"/>
      <c r="C890" s="43"/>
      <c r="D890" s="44"/>
      <c r="E890" s="43"/>
      <c r="F890" s="43"/>
      <c r="G890" s="48">
        <v>0</v>
      </c>
      <c r="H890" s="48">
        <v>136363.63636363635</v>
      </c>
      <c r="I890" s="50"/>
    </row>
    <row r="891" spans="1:9" x14ac:dyDescent="0.2">
      <c r="A891" s="40"/>
      <c r="B891" s="46"/>
      <c r="C891" s="43"/>
      <c r="D891" s="44"/>
      <c r="E891" s="43"/>
      <c r="F891" s="43"/>
      <c r="G891" s="48">
        <v>0</v>
      </c>
      <c r="H891" s="48">
        <v>136363.63636363635</v>
      </c>
      <c r="I891" s="50"/>
    </row>
    <row r="892" spans="1:9" x14ac:dyDescent="0.2">
      <c r="A892" s="40"/>
      <c r="B892" s="46"/>
      <c r="C892" s="43"/>
      <c r="D892" s="44"/>
      <c r="E892" s="43"/>
      <c r="F892" s="43"/>
      <c r="G892" s="48">
        <v>0</v>
      </c>
      <c r="H892" s="48">
        <v>136363.63636363635</v>
      </c>
      <c r="I892" s="50"/>
    </row>
    <row r="893" spans="1:9" x14ac:dyDescent="0.2">
      <c r="A893" s="40"/>
      <c r="B893" s="46"/>
      <c r="C893" s="43"/>
      <c r="D893" s="44"/>
      <c r="E893" s="43"/>
      <c r="F893" s="43"/>
      <c r="G893" s="48">
        <v>0</v>
      </c>
      <c r="H893" s="48">
        <v>136363.63636363635</v>
      </c>
      <c r="I893" s="50"/>
    </row>
    <row r="894" spans="1:9" x14ac:dyDescent="0.2">
      <c r="A894" s="40"/>
      <c r="B894" s="46"/>
      <c r="C894" s="43"/>
      <c r="D894" s="44"/>
      <c r="E894" s="43"/>
      <c r="F894" s="43"/>
      <c r="G894" s="48">
        <v>0</v>
      </c>
      <c r="H894" s="48">
        <v>136363.63636363635</v>
      </c>
      <c r="I894" s="50"/>
    </row>
    <row r="895" spans="1:9" x14ac:dyDescent="0.2">
      <c r="A895" s="40"/>
      <c r="B895" s="46"/>
      <c r="C895" s="43"/>
      <c r="D895" s="43"/>
      <c r="E895" s="43"/>
      <c r="F895" s="43"/>
      <c r="G895" s="48">
        <v>0</v>
      </c>
      <c r="H895" s="48">
        <v>136363.63636363635</v>
      </c>
      <c r="I895" s="50"/>
    </row>
    <row r="896" spans="1:9" x14ac:dyDescent="0.2">
      <c r="A896" s="40">
        <v>147</v>
      </c>
      <c r="B896" s="123" t="s">
        <v>594</v>
      </c>
      <c r="C896" s="124">
        <v>24252</v>
      </c>
      <c r="D896" s="124" t="s">
        <v>950</v>
      </c>
      <c r="E896" s="124" t="s">
        <v>662</v>
      </c>
      <c r="F896" s="124">
        <v>0.16749999999999998</v>
      </c>
      <c r="G896" s="125">
        <v>15682.916734090908</v>
      </c>
      <c r="H896" s="125">
        <v>93629.353636363638</v>
      </c>
      <c r="I896" s="126">
        <v>305231.69285454549</v>
      </c>
    </row>
    <row r="897" spans="1:9" x14ac:dyDescent="0.2">
      <c r="A897" s="40"/>
      <c r="B897" s="123"/>
      <c r="C897" s="124"/>
      <c r="D897" s="124" t="s">
        <v>942</v>
      </c>
      <c r="E897" s="124" t="s">
        <v>662</v>
      </c>
      <c r="F897" s="124">
        <v>0.27625000000000011</v>
      </c>
      <c r="G897" s="125">
        <v>25865.108942045466</v>
      </c>
      <c r="H897" s="125">
        <v>93629.353636363638</v>
      </c>
      <c r="I897" s="126"/>
    </row>
    <row r="898" spans="1:9" x14ac:dyDescent="0.2">
      <c r="A898" s="40"/>
      <c r="B898" s="123"/>
      <c r="C898" s="124"/>
      <c r="D898" s="124" t="s">
        <v>957</v>
      </c>
      <c r="E898" s="124" t="s">
        <v>662</v>
      </c>
      <c r="F898" s="124">
        <v>0.4375</v>
      </c>
      <c r="G898" s="125">
        <v>40962.842215909091</v>
      </c>
      <c r="H898" s="125">
        <v>93629.353636363638</v>
      </c>
      <c r="I898" s="126"/>
    </row>
    <row r="899" spans="1:9" x14ac:dyDescent="0.2">
      <c r="A899" s="40"/>
      <c r="B899" s="123"/>
      <c r="C899" s="124"/>
      <c r="D899" s="124" t="s">
        <v>960</v>
      </c>
      <c r="E899" s="124" t="s">
        <v>662</v>
      </c>
      <c r="F899" s="124">
        <v>0.28125</v>
      </c>
      <c r="G899" s="125">
        <v>26333.255710227273</v>
      </c>
      <c r="H899" s="125">
        <v>93629.353636363638</v>
      </c>
      <c r="I899" s="126"/>
    </row>
    <row r="900" spans="1:9" x14ac:dyDescent="0.2">
      <c r="A900" s="40"/>
      <c r="B900" s="123"/>
      <c r="C900" s="124"/>
      <c r="D900" s="124" t="s">
        <v>961</v>
      </c>
      <c r="E900" s="124" t="s">
        <v>662</v>
      </c>
      <c r="F900" s="124">
        <v>0.12875000000000014</v>
      </c>
      <c r="G900" s="125">
        <v>12054.779280681832</v>
      </c>
      <c r="H900" s="125">
        <v>93629.353636363638</v>
      </c>
      <c r="I900" s="126"/>
    </row>
    <row r="901" spans="1:9" x14ac:dyDescent="0.2">
      <c r="A901" s="40"/>
      <c r="B901" s="123"/>
      <c r="C901" s="124"/>
      <c r="D901" s="124" t="s">
        <v>965</v>
      </c>
      <c r="E901" s="124" t="s">
        <v>662</v>
      </c>
      <c r="F901" s="124">
        <v>0.16250000000000009</v>
      </c>
      <c r="G901" s="125">
        <v>15214.769965909099</v>
      </c>
      <c r="H901" s="125">
        <v>93629.353636363638</v>
      </c>
      <c r="I901" s="126"/>
    </row>
    <row r="902" spans="1:9" x14ac:dyDescent="0.2">
      <c r="A902" s="40"/>
      <c r="B902" s="123"/>
      <c r="C902" s="124"/>
      <c r="D902" s="124" t="s">
        <v>958</v>
      </c>
      <c r="E902" s="124" t="s">
        <v>662</v>
      </c>
      <c r="F902" s="124">
        <v>0.50749999999999984</v>
      </c>
      <c r="G902" s="125">
        <v>47516.896970454531</v>
      </c>
      <c r="H902" s="125">
        <v>93629.353636363638</v>
      </c>
      <c r="I902" s="126"/>
    </row>
    <row r="903" spans="1:9" x14ac:dyDescent="0.2">
      <c r="A903" s="40"/>
      <c r="B903" s="123"/>
      <c r="C903" s="124"/>
      <c r="D903" s="124" t="s">
        <v>941</v>
      </c>
      <c r="E903" s="124" t="s">
        <v>657</v>
      </c>
      <c r="F903" s="124">
        <v>1.1299999999999999</v>
      </c>
      <c r="G903" s="125">
        <v>105801.1696090909</v>
      </c>
      <c r="H903" s="125">
        <v>93629.353636363638</v>
      </c>
      <c r="I903" s="126"/>
    </row>
    <row r="904" spans="1:9" x14ac:dyDescent="0.2">
      <c r="A904" s="40"/>
      <c r="B904" s="123"/>
      <c r="C904" s="124"/>
      <c r="D904" s="124" t="s">
        <v>946</v>
      </c>
      <c r="E904" s="124" t="s">
        <v>662</v>
      </c>
      <c r="F904" s="124">
        <v>0.16875000000000018</v>
      </c>
      <c r="G904" s="125">
        <v>15799.953426136381</v>
      </c>
      <c r="H904" s="125">
        <v>93629.353636363638</v>
      </c>
      <c r="I904" s="126"/>
    </row>
    <row r="905" spans="1:9" x14ac:dyDescent="0.2">
      <c r="A905" s="40">
        <v>148</v>
      </c>
      <c r="B905" s="123" t="s">
        <v>593</v>
      </c>
      <c r="C905" s="124">
        <v>24251</v>
      </c>
      <c r="D905" s="124" t="s">
        <v>954</v>
      </c>
      <c r="E905" s="124" t="s">
        <v>657</v>
      </c>
      <c r="F905" s="124">
        <v>1</v>
      </c>
      <c r="G905" s="125">
        <v>93629.353636363638</v>
      </c>
      <c r="H905" s="125">
        <v>93629.353636363638</v>
      </c>
      <c r="I905" s="126">
        <v>93629.353636363638</v>
      </c>
    </row>
    <row r="906" spans="1:9" x14ac:dyDescent="0.2">
      <c r="A906" s="40"/>
      <c r="B906" s="46"/>
      <c r="C906" s="43"/>
      <c r="D906" s="43"/>
      <c r="E906" s="43"/>
      <c r="F906" s="43"/>
      <c r="G906" s="48">
        <v>0</v>
      </c>
      <c r="H906" s="48">
        <v>93629.353636363638</v>
      </c>
      <c r="I906" s="50"/>
    </row>
    <row r="907" spans="1:9" x14ac:dyDescent="0.2">
      <c r="A907" s="75"/>
      <c r="B907" s="71"/>
      <c r="C907" s="71"/>
      <c r="D907" s="120"/>
      <c r="E907" s="71"/>
      <c r="F907" s="71"/>
      <c r="G907" s="71">
        <v>0</v>
      </c>
      <c r="H907" s="71">
        <v>93629.353636363638</v>
      </c>
      <c r="I907" s="72"/>
    </row>
    <row r="908" spans="1:9" x14ac:dyDescent="0.2">
      <c r="A908" s="75">
        <v>149</v>
      </c>
      <c r="B908" s="71" t="s">
        <v>599</v>
      </c>
      <c r="C908" s="71">
        <v>24254</v>
      </c>
      <c r="D908" s="71"/>
      <c r="E908" s="71"/>
      <c r="F908" s="71"/>
      <c r="G908" s="71">
        <v>0</v>
      </c>
      <c r="H908" s="71">
        <v>99481.188181818186</v>
      </c>
      <c r="I908" s="72">
        <v>0</v>
      </c>
    </row>
    <row r="909" spans="1:9" x14ac:dyDescent="0.2">
      <c r="A909" s="75"/>
      <c r="B909" s="71"/>
      <c r="C909" s="71"/>
      <c r="D909" s="71"/>
      <c r="E909" s="71"/>
      <c r="F909" s="71"/>
      <c r="G909" s="71">
        <v>0</v>
      </c>
      <c r="H909" s="71">
        <v>99481.188181818186</v>
      </c>
      <c r="I909" s="72"/>
    </row>
    <row r="910" spans="1:9" x14ac:dyDescent="0.2">
      <c r="A910" s="75"/>
      <c r="B910" s="71"/>
      <c r="C910" s="71"/>
      <c r="D910" s="71"/>
      <c r="E910" s="71"/>
      <c r="F910" s="71"/>
      <c r="G910" s="71">
        <v>0</v>
      </c>
      <c r="H910" s="71">
        <v>99481.188181818186</v>
      </c>
      <c r="I910" s="72"/>
    </row>
    <row r="911" spans="1:9" x14ac:dyDescent="0.2">
      <c r="A911" s="75">
        <v>150</v>
      </c>
      <c r="B911" s="132" t="s">
        <v>611</v>
      </c>
      <c r="C911" s="132"/>
      <c r="D911" s="132" t="s">
        <v>942</v>
      </c>
      <c r="E911" s="132" t="s">
        <v>658</v>
      </c>
      <c r="F911" s="132">
        <v>1</v>
      </c>
      <c r="G911" s="132">
        <v>93629.353636363638</v>
      </c>
      <c r="H911" s="132">
        <v>93629.353636363638</v>
      </c>
      <c r="I911" s="133">
        <v>374517.41454545455</v>
      </c>
    </row>
    <row r="912" spans="1:9" x14ac:dyDescent="0.2">
      <c r="A912" s="75"/>
      <c r="B912" s="132"/>
      <c r="C912" s="132"/>
      <c r="D912" s="132" t="s">
        <v>963</v>
      </c>
      <c r="E912" s="132" t="s">
        <v>658</v>
      </c>
      <c r="F912" s="132">
        <v>1</v>
      </c>
      <c r="G912" s="132">
        <v>93629.353636363638</v>
      </c>
      <c r="H912" s="132">
        <v>93629.353636363638</v>
      </c>
      <c r="I912" s="133"/>
    </row>
    <row r="913" spans="1:9" x14ac:dyDescent="0.2">
      <c r="A913" s="75"/>
      <c r="B913" s="132"/>
      <c r="C913" s="132"/>
      <c r="D913" s="132" t="s">
        <v>954</v>
      </c>
      <c r="E913" s="132" t="s">
        <v>657</v>
      </c>
      <c r="F913" s="132">
        <v>1</v>
      </c>
      <c r="G913" s="132">
        <v>93629.353636363638</v>
      </c>
      <c r="H913" s="132">
        <v>93629.353636363638</v>
      </c>
      <c r="I913" s="133"/>
    </row>
    <row r="914" spans="1:9" x14ac:dyDescent="0.2">
      <c r="A914" s="75"/>
      <c r="B914" s="132"/>
      <c r="C914" s="132"/>
      <c r="D914" s="132" t="s">
        <v>951</v>
      </c>
      <c r="E914" s="132" t="s">
        <v>658</v>
      </c>
      <c r="F914" s="132">
        <v>1</v>
      </c>
      <c r="G914" s="132">
        <v>93629.353636363638</v>
      </c>
      <c r="H914" s="132">
        <v>93629.353636363638</v>
      </c>
      <c r="I914" s="133"/>
    </row>
    <row r="915" spans="1:9" x14ac:dyDescent="0.2">
      <c r="A915" s="75"/>
      <c r="B915" s="71"/>
      <c r="C915" s="71"/>
      <c r="D915" s="71"/>
      <c r="E915" s="71"/>
      <c r="F915" s="71"/>
      <c r="G915" s="71">
        <v>0</v>
      </c>
      <c r="H915" s="71">
        <v>93629.353636363638</v>
      </c>
      <c r="I915" s="72"/>
    </row>
    <row r="916" spans="1:9" x14ac:dyDescent="0.2">
      <c r="A916" s="75"/>
      <c r="B916" s="71"/>
      <c r="C916" s="71"/>
      <c r="D916" s="71"/>
      <c r="E916" s="71"/>
      <c r="F916" s="71"/>
      <c r="G916" s="71">
        <v>0</v>
      </c>
      <c r="H916" s="71">
        <v>93629.353636363638</v>
      </c>
      <c r="I916" s="72"/>
    </row>
    <row r="917" spans="1:9" x14ac:dyDescent="0.2">
      <c r="A917" s="75"/>
      <c r="B917" s="71"/>
      <c r="C917" s="71"/>
      <c r="D917" s="71"/>
      <c r="E917" s="71"/>
      <c r="F917" s="71"/>
      <c r="G917" s="71">
        <v>0</v>
      </c>
      <c r="H917" s="71">
        <v>93629.353636363638</v>
      </c>
      <c r="I917" s="72"/>
    </row>
    <row r="918" spans="1:9" x14ac:dyDescent="0.2">
      <c r="A918" s="75">
        <v>151</v>
      </c>
      <c r="B918" s="132" t="s">
        <v>606</v>
      </c>
      <c r="C918" s="132">
        <v>24253</v>
      </c>
      <c r="D918" s="132" t="s">
        <v>908</v>
      </c>
      <c r="E918" s="132" t="s">
        <v>662</v>
      </c>
      <c r="F918" s="132">
        <v>0.67874999999999996</v>
      </c>
      <c r="G918" s="132">
        <v>67522.856478409085</v>
      </c>
      <c r="H918" s="132">
        <v>99481.188181818186</v>
      </c>
      <c r="I918" s="133">
        <v>197097.10408522724</v>
      </c>
    </row>
    <row r="919" spans="1:9" x14ac:dyDescent="0.2">
      <c r="A919" s="75"/>
      <c r="B919" s="132"/>
      <c r="C919" s="132"/>
      <c r="D919" s="132" t="s">
        <v>901</v>
      </c>
      <c r="E919" s="132" t="s">
        <v>662</v>
      </c>
      <c r="F919" s="132">
        <v>0.63499999999999979</v>
      </c>
      <c r="G919" s="132">
        <v>63170.554495454526</v>
      </c>
      <c r="H919" s="132">
        <v>99481.188181818186</v>
      </c>
      <c r="I919" s="133"/>
    </row>
    <row r="920" spans="1:9" x14ac:dyDescent="0.2">
      <c r="A920" s="75"/>
      <c r="B920" s="132"/>
      <c r="C920" s="132"/>
      <c r="D920" s="132" t="s">
        <v>909</v>
      </c>
      <c r="E920" s="132" t="s">
        <v>662</v>
      </c>
      <c r="F920" s="132">
        <v>0.66749999999999998</v>
      </c>
      <c r="G920" s="132">
        <v>66403.693111363638</v>
      </c>
      <c r="H920" s="132">
        <v>99481.188181818186</v>
      </c>
      <c r="I920" s="133"/>
    </row>
    <row r="921" spans="1:9" x14ac:dyDescent="0.2">
      <c r="A921" s="75"/>
      <c r="B921" s="71"/>
      <c r="C921" s="71"/>
      <c r="D921" s="71"/>
      <c r="E921" s="71"/>
      <c r="F921" s="71"/>
      <c r="G921" s="71">
        <v>0</v>
      </c>
      <c r="H921" s="71">
        <v>99481.188181818186</v>
      </c>
      <c r="I921" s="72"/>
    </row>
    <row r="922" spans="1:9" x14ac:dyDescent="0.2">
      <c r="A922" s="75"/>
      <c r="B922" s="71"/>
      <c r="C922" s="71"/>
      <c r="D922" s="71"/>
      <c r="E922" s="71"/>
      <c r="F922" s="71"/>
      <c r="G922" s="71">
        <v>0</v>
      </c>
      <c r="H922" s="71">
        <v>99481.188181818186</v>
      </c>
      <c r="I922" s="72"/>
    </row>
    <row r="923" spans="1:9" x14ac:dyDescent="0.2">
      <c r="A923" s="75">
        <v>152</v>
      </c>
      <c r="B923" s="132" t="s">
        <v>610</v>
      </c>
      <c r="C923" s="132">
        <v>24260</v>
      </c>
      <c r="D923" s="132" t="s">
        <v>957</v>
      </c>
      <c r="E923" s="132" t="s">
        <v>659</v>
      </c>
      <c r="F923" s="132">
        <v>1</v>
      </c>
      <c r="G923" s="132">
        <v>93629.353636363638</v>
      </c>
      <c r="H923" s="132">
        <v>93629.353636363638</v>
      </c>
      <c r="I923" s="133">
        <v>187258.71727272728</v>
      </c>
    </row>
    <row r="924" spans="1:9" x14ac:dyDescent="0.2">
      <c r="A924" s="75"/>
      <c r="B924" s="132"/>
      <c r="C924" s="132"/>
      <c r="D924" s="132" t="s">
        <v>962</v>
      </c>
      <c r="E924" s="132" t="s">
        <v>659</v>
      </c>
      <c r="F924" s="132">
        <v>1</v>
      </c>
      <c r="G924" s="132">
        <v>93629.363636363632</v>
      </c>
      <c r="H924" s="132">
        <v>93629.363636363632</v>
      </c>
      <c r="I924" s="133"/>
    </row>
    <row r="925" spans="1:9" x14ac:dyDescent="0.2">
      <c r="A925" s="75"/>
      <c r="B925" s="71"/>
      <c r="C925" s="71"/>
      <c r="D925" s="71"/>
      <c r="E925" s="71"/>
      <c r="F925" s="71"/>
      <c r="G925" s="71">
        <v>0</v>
      </c>
      <c r="H925" s="71">
        <v>93629.363636363632</v>
      </c>
      <c r="I925" s="72"/>
    </row>
    <row r="926" spans="1:9" x14ac:dyDescent="0.2">
      <c r="A926" s="75"/>
      <c r="B926" s="71"/>
      <c r="C926" s="71"/>
      <c r="D926" s="71"/>
      <c r="E926" s="71"/>
      <c r="F926" s="71"/>
      <c r="G926" s="71">
        <v>0</v>
      </c>
      <c r="H926" s="71">
        <v>93629.363636363632</v>
      </c>
      <c r="I926" s="72"/>
    </row>
    <row r="927" spans="1:9" x14ac:dyDescent="0.2">
      <c r="A927" s="75"/>
      <c r="B927" s="71"/>
      <c r="C927" s="71"/>
      <c r="D927" s="71"/>
      <c r="E927" s="71"/>
      <c r="F927" s="71"/>
      <c r="G927" s="71">
        <v>0</v>
      </c>
      <c r="H927" s="71">
        <v>93629.363636363632</v>
      </c>
      <c r="I927" s="72"/>
    </row>
    <row r="928" spans="1:9" x14ac:dyDescent="0.2">
      <c r="A928" s="75"/>
      <c r="B928" s="71"/>
      <c r="C928" s="71"/>
      <c r="D928" s="71"/>
      <c r="E928" s="71"/>
      <c r="F928" s="71"/>
      <c r="G928" s="71">
        <v>0</v>
      </c>
      <c r="H928" s="71">
        <v>93629.363636363632</v>
      </c>
      <c r="I928" s="72"/>
    </row>
    <row r="929" spans="1:9" x14ac:dyDescent="0.2">
      <c r="A929" s="75">
        <v>153</v>
      </c>
      <c r="B929" s="132" t="s">
        <v>819</v>
      </c>
      <c r="C929" s="132">
        <v>24258</v>
      </c>
      <c r="D929" s="132" t="s">
        <v>950</v>
      </c>
      <c r="E929" s="132" t="s">
        <v>662</v>
      </c>
      <c r="F929" s="132">
        <v>0.79749999999999988</v>
      </c>
      <c r="G929" s="132">
        <v>79336.247574999987</v>
      </c>
      <c r="H929" s="132">
        <v>99481.188181818186</v>
      </c>
      <c r="I929" s="133">
        <v>545405.61420681817</v>
      </c>
    </row>
    <row r="930" spans="1:9" x14ac:dyDescent="0.2">
      <c r="A930" s="75"/>
      <c r="B930" s="132"/>
      <c r="C930" s="132"/>
      <c r="D930" s="132" t="s">
        <v>942</v>
      </c>
      <c r="E930" s="132" t="s">
        <v>662</v>
      </c>
      <c r="F930" s="132">
        <v>0.69249999999999989</v>
      </c>
      <c r="G930" s="132">
        <v>68890.722815909088</v>
      </c>
      <c r="H930" s="132">
        <v>99481.188181818186</v>
      </c>
      <c r="I930" s="133"/>
    </row>
    <row r="931" spans="1:9" x14ac:dyDescent="0.2">
      <c r="A931" s="75"/>
      <c r="B931" s="132"/>
      <c r="C931" s="132"/>
      <c r="D931" s="132" t="s">
        <v>943</v>
      </c>
      <c r="E931" s="132" t="s">
        <v>662</v>
      </c>
      <c r="F931" s="132">
        <v>0.39749999999999996</v>
      </c>
      <c r="G931" s="132">
        <v>39543.772302272722</v>
      </c>
      <c r="H931" s="132">
        <v>99481.188181818186</v>
      </c>
      <c r="I931" s="133"/>
    </row>
    <row r="932" spans="1:9" x14ac:dyDescent="0.2">
      <c r="A932" s="75"/>
      <c r="B932" s="132"/>
      <c r="C932" s="132"/>
      <c r="D932" s="132" t="s">
        <v>963</v>
      </c>
      <c r="E932" s="132" t="s">
        <v>662</v>
      </c>
      <c r="F932" s="132">
        <v>0.64500000000000002</v>
      </c>
      <c r="G932" s="132">
        <v>64165.36637727273</v>
      </c>
      <c r="H932" s="132">
        <v>99481.188181818186</v>
      </c>
      <c r="I932" s="133"/>
    </row>
    <row r="933" spans="1:9" x14ac:dyDescent="0.2">
      <c r="A933" s="75"/>
      <c r="B933" s="132"/>
      <c r="C933" s="132"/>
      <c r="D933" s="132" t="s">
        <v>966</v>
      </c>
      <c r="E933" s="132" t="s">
        <v>662</v>
      </c>
      <c r="F933" s="132">
        <v>0.3762500000000002</v>
      </c>
      <c r="G933" s="132">
        <v>37429.797053409115</v>
      </c>
      <c r="H933" s="132">
        <v>99481.188181818186</v>
      </c>
      <c r="I933" s="133"/>
    </row>
    <row r="934" spans="1:9" x14ac:dyDescent="0.2">
      <c r="A934" s="75"/>
      <c r="B934" s="132"/>
      <c r="C934" s="132"/>
      <c r="D934" s="132" t="s">
        <v>955</v>
      </c>
      <c r="E934" s="132" t="s">
        <v>662</v>
      </c>
      <c r="F934" s="132">
        <v>0.30624999999999991</v>
      </c>
      <c r="G934" s="132">
        <v>30466.113880681809</v>
      </c>
      <c r="H934" s="132">
        <v>99481.188181818186</v>
      </c>
      <c r="I934" s="133"/>
    </row>
    <row r="935" spans="1:9" x14ac:dyDescent="0.2">
      <c r="A935" s="75"/>
      <c r="B935" s="132"/>
      <c r="C935" s="132"/>
      <c r="D935" s="132" t="s">
        <v>947</v>
      </c>
      <c r="E935" s="132" t="s">
        <v>662</v>
      </c>
      <c r="F935" s="132">
        <v>0.30624999999999991</v>
      </c>
      <c r="G935" s="132">
        <v>30466.113880681809</v>
      </c>
      <c r="H935" s="132">
        <v>99481.188181818186</v>
      </c>
      <c r="I935" s="133"/>
    </row>
    <row r="936" spans="1:9" x14ac:dyDescent="0.2">
      <c r="A936" s="75"/>
      <c r="B936" s="132"/>
      <c r="C936" s="132"/>
      <c r="D936" s="132" t="s">
        <v>962</v>
      </c>
      <c r="E936" s="132" t="s">
        <v>662</v>
      </c>
      <c r="F936" s="132">
        <v>0.40249999999999986</v>
      </c>
      <c r="G936" s="132">
        <v>40041.178243181806</v>
      </c>
      <c r="H936" s="132">
        <v>99481.188181818186</v>
      </c>
      <c r="I936" s="133"/>
    </row>
    <row r="937" spans="1:9" x14ac:dyDescent="0.2">
      <c r="A937" s="75"/>
      <c r="B937" s="132"/>
      <c r="C937" s="132"/>
      <c r="D937" s="132" t="s">
        <v>952</v>
      </c>
      <c r="E937" s="132" t="s">
        <v>662</v>
      </c>
      <c r="F937" s="132">
        <v>0.42625000000000002</v>
      </c>
      <c r="G937" s="132">
        <v>42403.856462500007</v>
      </c>
      <c r="H937" s="132">
        <v>99481.188181818186</v>
      </c>
      <c r="I937" s="133"/>
    </row>
    <row r="938" spans="1:9" x14ac:dyDescent="0.2">
      <c r="A938" s="75"/>
      <c r="B938" s="132"/>
      <c r="C938" s="132"/>
      <c r="D938" s="132" t="s">
        <v>965</v>
      </c>
      <c r="E938" s="132" t="s">
        <v>662</v>
      </c>
      <c r="F938" s="132">
        <v>0.4362499999999998</v>
      </c>
      <c r="G938" s="132">
        <v>43398.668344318161</v>
      </c>
      <c r="H938" s="132">
        <v>99481.188181818186</v>
      </c>
      <c r="I938" s="133"/>
    </row>
    <row r="939" spans="1:9" x14ac:dyDescent="0.2">
      <c r="A939" s="75"/>
      <c r="B939" s="132"/>
      <c r="C939" s="132"/>
      <c r="D939" s="132" t="s">
        <v>956</v>
      </c>
      <c r="E939" s="132" t="s">
        <v>662</v>
      </c>
      <c r="F939" s="132">
        <v>0.31875000000000009</v>
      </c>
      <c r="G939" s="132">
        <v>31709.628732954556</v>
      </c>
      <c r="H939" s="132">
        <v>99481.188181818186</v>
      </c>
      <c r="I939" s="133"/>
    </row>
    <row r="940" spans="1:9" x14ac:dyDescent="0.2">
      <c r="A940" s="75"/>
      <c r="B940" s="132"/>
      <c r="C940" s="132"/>
      <c r="D940" s="132" t="s">
        <v>946</v>
      </c>
      <c r="E940" s="132" t="s">
        <v>662</v>
      </c>
      <c r="F940" s="132">
        <v>0.37749999999999995</v>
      </c>
      <c r="G940" s="132">
        <v>37554.148538636357</v>
      </c>
      <c r="H940" s="132">
        <v>99481.188181818186</v>
      </c>
      <c r="I940" s="133"/>
    </row>
    <row r="941" spans="1:9" x14ac:dyDescent="0.2">
      <c r="A941" s="75"/>
      <c r="B941" s="71"/>
      <c r="C941" s="71"/>
      <c r="D941" s="71"/>
      <c r="E941" s="71"/>
      <c r="F941" s="71"/>
      <c r="G941" s="71">
        <v>0</v>
      </c>
      <c r="H941" s="71">
        <v>99481.188181818186</v>
      </c>
      <c r="I941" s="72"/>
    </row>
    <row r="942" spans="1:9" x14ac:dyDescent="0.2">
      <c r="A942" s="75">
        <v>154</v>
      </c>
      <c r="B942" s="132" t="s">
        <v>613</v>
      </c>
      <c r="C942" s="132">
        <v>24257</v>
      </c>
      <c r="D942" s="132" t="s">
        <v>950</v>
      </c>
      <c r="E942" s="132" t="s">
        <v>662</v>
      </c>
      <c r="F942" s="132">
        <v>0.88624999999999998</v>
      </c>
      <c r="G942" s="132">
        <v>88165.203026136369</v>
      </c>
      <c r="H942" s="132">
        <v>99481.188181818186</v>
      </c>
      <c r="I942" s="133">
        <v>252060.46055568181</v>
      </c>
    </row>
    <row r="943" spans="1:9" x14ac:dyDescent="0.2">
      <c r="A943" s="75"/>
      <c r="B943" s="132"/>
      <c r="C943" s="132"/>
      <c r="D943" s="132" t="s">
        <v>944</v>
      </c>
      <c r="E943" s="132" t="s">
        <v>662</v>
      </c>
      <c r="F943" s="132">
        <v>0.76500000000000012</v>
      </c>
      <c r="G943" s="132">
        <v>76103.108959090925</v>
      </c>
      <c r="H943" s="132">
        <v>99481.188181818186</v>
      </c>
      <c r="I943" s="133"/>
    </row>
    <row r="944" spans="1:9" x14ac:dyDescent="0.2">
      <c r="A944" s="75"/>
      <c r="B944" s="132"/>
      <c r="C944" s="132"/>
      <c r="D944" s="132" t="s">
        <v>961</v>
      </c>
      <c r="E944" s="132" t="s">
        <v>662</v>
      </c>
      <c r="F944" s="132">
        <v>0.88249999999999984</v>
      </c>
      <c r="G944" s="132">
        <v>87792.148570454534</v>
      </c>
      <c r="H944" s="132">
        <v>99481.188181818186</v>
      </c>
      <c r="I944" s="133"/>
    </row>
    <row r="945" spans="1:9" x14ac:dyDescent="0.2">
      <c r="A945" s="75"/>
      <c r="B945" s="71"/>
      <c r="C945" s="71"/>
      <c r="D945" s="71"/>
      <c r="E945" s="71"/>
      <c r="F945" s="71"/>
      <c r="G945" s="71">
        <v>0</v>
      </c>
      <c r="H945" s="71">
        <v>99481.188181818186</v>
      </c>
      <c r="I945" s="72"/>
    </row>
    <row r="946" spans="1:9" x14ac:dyDescent="0.2">
      <c r="A946" s="75"/>
      <c r="B946" s="71"/>
      <c r="C946" s="71"/>
      <c r="D946" s="71"/>
      <c r="E946" s="71"/>
      <c r="F946" s="71"/>
      <c r="G946" s="71">
        <v>0</v>
      </c>
      <c r="H946" s="71">
        <v>99481.188181818186</v>
      </c>
      <c r="I946" s="72"/>
    </row>
    <row r="947" spans="1:9" x14ac:dyDescent="0.2">
      <c r="A947" s="75"/>
      <c r="B947" s="71"/>
      <c r="C947" s="71"/>
      <c r="D947" s="71"/>
      <c r="E947" s="71"/>
      <c r="F947" s="71"/>
      <c r="G947" s="71">
        <v>0</v>
      </c>
      <c r="H947" s="71">
        <v>99481.188181818186</v>
      </c>
      <c r="I947" s="72"/>
    </row>
    <row r="948" spans="1:9" x14ac:dyDescent="0.2">
      <c r="A948" s="75"/>
      <c r="B948" s="71"/>
      <c r="C948" s="71"/>
      <c r="D948" s="71"/>
      <c r="E948" s="71"/>
      <c r="F948" s="71"/>
      <c r="G948" s="71">
        <v>0</v>
      </c>
      <c r="H948" s="71">
        <v>99481.188181818186</v>
      </c>
      <c r="I948" s="72"/>
    </row>
    <row r="949" spans="1:9" x14ac:dyDescent="0.2">
      <c r="A949" s="75"/>
      <c r="B949" s="71"/>
      <c r="C949" s="71"/>
      <c r="D949" s="71"/>
      <c r="E949" s="71"/>
      <c r="F949" s="71"/>
      <c r="G949" s="71">
        <v>0</v>
      </c>
      <c r="H949" s="71">
        <v>99481.188181818186</v>
      </c>
      <c r="I949" s="72"/>
    </row>
    <row r="950" spans="1:9" x14ac:dyDescent="0.2">
      <c r="A950" s="75">
        <v>155</v>
      </c>
      <c r="B950" s="132" t="s">
        <v>827</v>
      </c>
      <c r="C950" s="132">
        <v>24259</v>
      </c>
      <c r="D950" s="132" t="s">
        <v>950</v>
      </c>
      <c r="E950" s="132" t="s">
        <v>658</v>
      </c>
      <c r="F950" s="132">
        <v>0.875</v>
      </c>
      <c r="G950" s="132">
        <v>81925.684431818183</v>
      </c>
      <c r="H950" s="132">
        <v>93629.353636363638</v>
      </c>
      <c r="I950" s="133">
        <v>175555.04806818182</v>
      </c>
    </row>
    <row r="951" spans="1:9" x14ac:dyDescent="0.2">
      <c r="A951" s="75"/>
      <c r="B951" s="132"/>
      <c r="C951" s="132"/>
      <c r="D951" s="132" t="s">
        <v>958</v>
      </c>
      <c r="E951" s="132" t="s">
        <v>659</v>
      </c>
      <c r="F951" s="132">
        <v>1</v>
      </c>
      <c r="G951" s="132">
        <v>93629.363636363632</v>
      </c>
      <c r="H951" s="132">
        <v>93629.363636363632</v>
      </c>
      <c r="I951" s="133"/>
    </row>
    <row r="952" spans="1:9" x14ac:dyDescent="0.2">
      <c r="A952" s="75"/>
      <c r="B952" s="71"/>
      <c r="C952" s="71"/>
      <c r="D952" s="71"/>
      <c r="E952" s="71"/>
      <c r="F952" s="71"/>
      <c r="G952" s="71">
        <v>0</v>
      </c>
      <c r="H952" s="71">
        <v>93629.363636363632</v>
      </c>
      <c r="I952" s="72"/>
    </row>
    <row r="953" spans="1:9" x14ac:dyDescent="0.2">
      <c r="A953" s="75"/>
      <c r="B953" s="71"/>
      <c r="C953" s="71"/>
      <c r="D953" s="71"/>
      <c r="E953" s="71"/>
      <c r="F953" s="71"/>
      <c r="G953" s="71">
        <v>0</v>
      </c>
      <c r="H953" s="71">
        <v>93629.363636363632</v>
      </c>
      <c r="I953" s="72"/>
    </row>
    <row r="954" spans="1:9" x14ac:dyDescent="0.2">
      <c r="A954" s="75"/>
      <c r="B954" s="71"/>
      <c r="C954" s="71"/>
      <c r="D954" s="71"/>
      <c r="E954" s="71"/>
      <c r="F954" s="71"/>
      <c r="G954" s="71">
        <v>0</v>
      </c>
      <c r="H954" s="71">
        <v>93629.363636363632</v>
      </c>
      <c r="I954" s="72"/>
    </row>
    <row r="955" spans="1:9" x14ac:dyDescent="0.2">
      <c r="A955" s="75">
        <v>156</v>
      </c>
      <c r="B955" s="132" t="s">
        <v>841</v>
      </c>
      <c r="C955" s="132">
        <v>24264</v>
      </c>
      <c r="D955" s="132" t="s">
        <v>951</v>
      </c>
      <c r="E955" s="132" t="s">
        <v>657</v>
      </c>
      <c r="F955" s="132">
        <v>1</v>
      </c>
      <c r="G955" s="132">
        <v>93629.353636363638</v>
      </c>
      <c r="H955" s="132">
        <v>93629.353636363638</v>
      </c>
      <c r="I955" s="133">
        <v>93629.353636363638</v>
      </c>
    </row>
    <row r="956" spans="1:9" x14ac:dyDescent="0.2">
      <c r="A956" s="75"/>
      <c r="B956" s="71"/>
      <c r="C956" s="71"/>
      <c r="D956" s="71"/>
      <c r="E956" s="71"/>
      <c r="F956" s="71"/>
      <c r="G956" s="71">
        <v>0</v>
      </c>
      <c r="H956" s="71">
        <v>93629.353636363638</v>
      </c>
      <c r="I956" s="72"/>
    </row>
    <row r="957" spans="1:9" x14ac:dyDescent="0.2">
      <c r="A957" s="75"/>
      <c r="B957" s="71"/>
      <c r="C957" s="71"/>
      <c r="D957" s="71"/>
      <c r="E957" s="71"/>
      <c r="F957" s="71"/>
      <c r="G957" s="71">
        <v>0</v>
      </c>
      <c r="H957" s="71">
        <v>93629.353636363638</v>
      </c>
      <c r="I957" s="72"/>
    </row>
    <row r="958" spans="1:9" x14ac:dyDescent="0.2">
      <c r="A958" s="75"/>
      <c r="B958" s="71"/>
      <c r="C958" s="71"/>
      <c r="D958" s="71"/>
      <c r="E958" s="71"/>
      <c r="F958" s="71"/>
      <c r="G958" s="71">
        <v>0</v>
      </c>
      <c r="H958" s="71">
        <v>93629.353636363638</v>
      </c>
      <c r="I958" s="72"/>
    </row>
    <row r="959" spans="1:9" x14ac:dyDescent="0.2">
      <c r="A959" s="75"/>
      <c r="B959" s="71"/>
      <c r="C959" s="71"/>
      <c r="D959" s="71"/>
      <c r="E959" s="71"/>
      <c r="F959" s="71"/>
      <c r="G959" s="71">
        <v>0</v>
      </c>
      <c r="H959" s="71">
        <v>93629.353636363638</v>
      </c>
      <c r="I959" s="72"/>
    </row>
    <row r="960" spans="1:9" x14ac:dyDescent="0.2">
      <c r="A960" s="75">
        <v>157</v>
      </c>
      <c r="B960" s="71" t="s">
        <v>607</v>
      </c>
      <c r="C960" s="71">
        <v>24255</v>
      </c>
      <c r="D960" s="71"/>
      <c r="E960" s="71"/>
      <c r="F960" s="71"/>
      <c r="G960" s="71">
        <v>0</v>
      </c>
      <c r="H960" s="71">
        <v>99481.188181818186</v>
      </c>
      <c r="I960" s="72">
        <v>0</v>
      </c>
    </row>
    <row r="961" spans="1:9" x14ac:dyDescent="0.2">
      <c r="A961" s="75"/>
      <c r="B961" s="71"/>
      <c r="C961" s="71"/>
      <c r="D961" s="71"/>
      <c r="E961" s="71"/>
      <c r="F961" s="71"/>
      <c r="G961" s="71">
        <v>0</v>
      </c>
      <c r="H961" s="71">
        <v>99481.181818181823</v>
      </c>
      <c r="I961" s="72"/>
    </row>
    <row r="962" spans="1:9" x14ac:dyDescent="0.2">
      <c r="A962" s="75"/>
      <c r="B962" s="71"/>
      <c r="C962" s="71"/>
      <c r="D962" s="71"/>
      <c r="E962" s="71"/>
      <c r="F962" s="71"/>
      <c r="G962" s="71">
        <v>0</v>
      </c>
      <c r="H962" s="71">
        <v>99481.181818181823</v>
      </c>
      <c r="I962" s="72"/>
    </row>
    <row r="963" spans="1:9" x14ac:dyDescent="0.2">
      <c r="A963" s="75"/>
      <c r="B963" s="71"/>
      <c r="C963" s="71"/>
      <c r="D963" s="71"/>
      <c r="E963" s="71"/>
      <c r="F963" s="71"/>
      <c r="G963" s="71">
        <v>0</v>
      </c>
      <c r="H963" s="71">
        <v>99481.181818181823</v>
      </c>
      <c r="I963" s="72"/>
    </row>
    <row r="964" spans="1:9" x14ac:dyDescent="0.2">
      <c r="A964" s="75"/>
      <c r="B964" s="71"/>
      <c r="C964" s="71"/>
      <c r="D964" s="71"/>
      <c r="E964" s="71"/>
      <c r="F964" s="71"/>
      <c r="G964" s="71">
        <v>0</v>
      </c>
      <c r="H964" s="71">
        <v>99481.181818181823</v>
      </c>
      <c r="I964" s="72"/>
    </row>
    <row r="965" spans="1:9" x14ac:dyDescent="0.2">
      <c r="A965" s="75">
        <v>158</v>
      </c>
      <c r="B965" s="132" t="s">
        <v>847</v>
      </c>
      <c r="C965" s="132">
        <v>24263</v>
      </c>
      <c r="D965" s="132" t="s">
        <v>950</v>
      </c>
      <c r="E965" s="132" t="s">
        <v>658</v>
      </c>
      <c r="F965" s="132">
        <v>0.875</v>
      </c>
      <c r="G965" s="132">
        <v>81925.684431818183</v>
      </c>
      <c r="H965" s="132">
        <v>93629.353636363638</v>
      </c>
      <c r="I965" s="133">
        <v>245777.07079545455</v>
      </c>
    </row>
    <row r="966" spans="1:9" x14ac:dyDescent="0.2">
      <c r="A966" s="75"/>
      <c r="B966" s="132"/>
      <c r="C966" s="132"/>
      <c r="D966" s="132" t="s">
        <v>947</v>
      </c>
      <c r="E966" s="132" t="s">
        <v>658</v>
      </c>
      <c r="F966" s="132">
        <v>0.875</v>
      </c>
      <c r="G966" s="132">
        <v>81925.693181818177</v>
      </c>
      <c r="H966" s="132">
        <v>93629.363636363632</v>
      </c>
      <c r="I966" s="133"/>
    </row>
    <row r="967" spans="1:9" x14ac:dyDescent="0.2">
      <c r="A967" s="75"/>
      <c r="B967" s="132"/>
      <c r="C967" s="132"/>
      <c r="D967" s="132" t="s">
        <v>958</v>
      </c>
      <c r="E967" s="132" t="s">
        <v>658</v>
      </c>
      <c r="F967" s="132">
        <v>0.875</v>
      </c>
      <c r="G967" s="132">
        <v>81925.693181818177</v>
      </c>
      <c r="H967" s="132">
        <v>93629.363636363632</v>
      </c>
      <c r="I967" s="133"/>
    </row>
    <row r="968" spans="1:9" x14ac:dyDescent="0.2">
      <c r="A968" s="75"/>
      <c r="B968" s="71"/>
      <c r="C968" s="71"/>
      <c r="D968" s="71"/>
      <c r="E968" s="71"/>
      <c r="F968" s="71"/>
      <c r="G968" s="71">
        <v>0</v>
      </c>
      <c r="H968" s="71">
        <v>93629.363636363632</v>
      </c>
      <c r="I968" s="72"/>
    </row>
    <row r="969" spans="1:9" x14ac:dyDescent="0.2">
      <c r="A969" s="75">
        <v>159</v>
      </c>
      <c r="B969" s="132" t="s">
        <v>848</v>
      </c>
      <c r="C969" s="132">
        <v>24265</v>
      </c>
      <c r="D969" s="132" t="s">
        <v>941</v>
      </c>
      <c r="E969" s="132" t="s">
        <v>657</v>
      </c>
      <c r="F969" s="132">
        <v>1</v>
      </c>
      <c r="G969" s="132">
        <v>93629.353636363638</v>
      </c>
      <c r="H969" s="132">
        <v>93629.353636363638</v>
      </c>
      <c r="I969" s="133">
        <v>187258.70727272728</v>
      </c>
    </row>
    <row r="970" spans="1:9" x14ac:dyDescent="0.2">
      <c r="A970" s="75"/>
      <c r="B970" s="132"/>
      <c r="C970" s="132"/>
      <c r="D970" s="132" t="s">
        <v>953</v>
      </c>
      <c r="E970" s="132" t="s">
        <v>657</v>
      </c>
      <c r="F970" s="132">
        <v>1</v>
      </c>
      <c r="G970" s="132">
        <v>93629.353636363638</v>
      </c>
      <c r="H970" s="132">
        <v>93629.353636363638</v>
      </c>
      <c r="I970" s="133"/>
    </row>
    <row r="971" spans="1:9" x14ac:dyDescent="0.2">
      <c r="A971" s="75"/>
      <c r="B971" s="71"/>
      <c r="C971" s="71"/>
      <c r="D971" s="71"/>
      <c r="E971" s="71"/>
      <c r="F971" s="71"/>
      <c r="G971" s="71">
        <v>0</v>
      </c>
      <c r="H971" s="71">
        <v>93629.353636363638</v>
      </c>
      <c r="I971" s="72"/>
    </row>
    <row r="972" spans="1:9" x14ac:dyDescent="0.2">
      <c r="A972" s="75"/>
      <c r="B972" s="71"/>
      <c r="C972" s="71"/>
      <c r="D972" s="71"/>
      <c r="E972" s="71"/>
      <c r="F972" s="71"/>
      <c r="G972" s="71">
        <v>0</v>
      </c>
      <c r="H972" s="71">
        <v>93629.353636363638</v>
      </c>
      <c r="I972" s="72"/>
    </row>
    <row r="973" spans="1:9" x14ac:dyDescent="0.2">
      <c r="A973" s="75"/>
      <c r="B973" s="71"/>
      <c r="C973" s="71"/>
      <c r="D973" s="71"/>
      <c r="E973" s="71"/>
      <c r="F973" s="71"/>
      <c r="G973" s="71">
        <v>0</v>
      </c>
      <c r="H973" s="71">
        <v>93629.353636363638</v>
      </c>
      <c r="I973" s="72"/>
    </row>
    <row r="974" spans="1:9" x14ac:dyDescent="0.2">
      <c r="A974" s="75"/>
      <c r="B974" s="71"/>
      <c r="C974" s="71"/>
      <c r="D974" s="71"/>
      <c r="E974" s="71"/>
      <c r="F974" s="71"/>
      <c r="G974" s="71">
        <v>0</v>
      </c>
      <c r="H974" s="71">
        <v>93629.353636363638</v>
      </c>
      <c r="I974" s="72"/>
    </row>
    <row r="975" spans="1:9" x14ac:dyDescent="0.2">
      <c r="A975" s="75">
        <v>160</v>
      </c>
      <c r="B975" s="71" t="s">
        <v>910</v>
      </c>
      <c r="C975" s="71">
        <v>24268</v>
      </c>
      <c r="D975" s="71"/>
      <c r="E975" s="71"/>
      <c r="F975" s="71"/>
      <c r="G975" s="71">
        <v>0</v>
      </c>
      <c r="H975" s="71">
        <v>93629.353636363638</v>
      </c>
      <c r="I975" s="72">
        <v>0</v>
      </c>
    </row>
    <row r="976" spans="1:9" x14ac:dyDescent="0.2">
      <c r="A976" s="75"/>
      <c r="B976" s="71"/>
      <c r="C976" s="71"/>
      <c r="D976" s="71"/>
      <c r="E976" s="71"/>
      <c r="F976" s="71"/>
      <c r="G976" s="71">
        <v>0</v>
      </c>
      <c r="H976" s="71">
        <v>93629.353636363638</v>
      </c>
      <c r="I976" s="72"/>
    </row>
    <row r="977" spans="1:9" x14ac:dyDescent="0.2">
      <c r="A977" s="75"/>
      <c r="B977" s="71"/>
      <c r="C977" s="71"/>
      <c r="D977" s="71"/>
      <c r="E977" s="71"/>
      <c r="F977" s="71"/>
      <c r="G977" s="71">
        <v>0</v>
      </c>
      <c r="H977" s="71">
        <v>93629.353636363638</v>
      </c>
      <c r="I977" s="72"/>
    </row>
    <row r="978" spans="1:9" x14ac:dyDescent="0.2">
      <c r="A978" s="75"/>
      <c r="B978" s="71"/>
      <c r="C978" s="71"/>
      <c r="D978" s="71"/>
      <c r="E978" s="71"/>
      <c r="F978" s="71"/>
      <c r="G978" s="71">
        <v>0</v>
      </c>
      <c r="H978" s="71">
        <v>93629.353636363638</v>
      </c>
      <c r="I978" s="72"/>
    </row>
    <row r="979" spans="1:9" x14ac:dyDescent="0.2">
      <c r="A979" s="75"/>
      <c r="B979" s="71"/>
      <c r="C979" s="71"/>
      <c r="D979" s="71"/>
      <c r="E979" s="71"/>
      <c r="F979" s="71"/>
      <c r="G979" s="71">
        <v>0</v>
      </c>
      <c r="H979" s="71">
        <v>93629.353636363638</v>
      </c>
      <c r="I979" s="72"/>
    </row>
    <row r="980" spans="1:9" x14ac:dyDescent="0.2">
      <c r="A980" s="75"/>
      <c r="B980" s="71"/>
      <c r="C980" s="71"/>
      <c r="D980" s="71"/>
      <c r="E980" s="71"/>
      <c r="F980" s="71"/>
      <c r="G980" s="71">
        <v>0</v>
      </c>
      <c r="H980" s="71">
        <v>93629.353636363638</v>
      </c>
      <c r="I980" s="72"/>
    </row>
    <row r="981" spans="1:9" x14ac:dyDescent="0.2">
      <c r="A981" s="75">
        <v>161</v>
      </c>
      <c r="B981" s="132" t="s">
        <v>849</v>
      </c>
      <c r="C981" s="132">
        <v>24266</v>
      </c>
      <c r="D981" s="132" t="s">
        <v>950</v>
      </c>
      <c r="E981" s="132" t="s">
        <v>662</v>
      </c>
      <c r="F981" s="132">
        <v>0.16749999999999998</v>
      </c>
      <c r="G981" s="132">
        <v>15682.916734090908</v>
      </c>
      <c r="H981" s="132">
        <v>93629.353636363638</v>
      </c>
      <c r="I981" s="133">
        <v>431046.13680340903</v>
      </c>
    </row>
    <row r="982" spans="1:9" x14ac:dyDescent="0.2">
      <c r="A982" s="75"/>
      <c r="B982" s="132"/>
      <c r="C982" s="132"/>
      <c r="D982" s="132" t="s">
        <v>957</v>
      </c>
      <c r="E982" s="132" t="s">
        <v>662</v>
      </c>
      <c r="F982" s="132">
        <v>0.4375</v>
      </c>
      <c r="G982" s="132">
        <v>40962.842215909091</v>
      </c>
      <c r="H982" s="132">
        <v>93629.353636363638</v>
      </c>
      <c r="I982" s="133"/>
    </row>
    <row r="983" spans="1:9" x14ac:dyDescent="0.2">
      <c r="A983" s="75"/>
      <c r="B983" s="132"/>
      <c r="C983" s="132"/>
      <c r="D983" s="132" t="s">
        <v>938</v>
      </c>
      <c r="E983" s="132" t="s">
        <v>657</v>
      </c>
      <c r="F983" s="132">
        <v>1.3050000000000002</v>
      </c>
      <c r="G983" s="132">
        <v>122186.30649545456</v>
      </c>
      <c r="H983" s="132">
        <v>93629.353636363638</v>
      </c>
      <c r="I983" s="133"/>
    </row>
    <row r="984" spans="1:9" x14ac:dyDescent="0.2">
      <c r="A984" s="75"/>
      <c r="B984" s="132"/>
      <c r="C984" s="132"/>
      <c r="D984" s="132" t="s">
        <v>939</v>
      </c>
      <c r="E984" s="132" t="s">
        <v>662</v>
      </c>
      <c r="F984" s="132">
        <v>0.7649999999999999</v>
      </c>
      <c r="G984" s="132">
        <v>71626.455531818166</v>
      </c>
      <c r="H984" s="132">
        <v>93629.353636363638</v>
      </c>
      <c r="I984" s="133"/>
    </row>
    <row r="985" spans="1:9" x14ac:dyDescent="0.2">
      <c r="A985" s="75"/>
      <c r="B985" s="132"/>
      <c r="C985" s="132"/>
      <c r="D985" s="132" t="s">
        <v>960</v>
      </c>
      <c r="E985" s="132" t="s">
        <v>662</v>
      </c>
      <c r="F985" s="132">
        <v>0.28125</v>
      </c>
      <c r="G985" s="132">
        <v>26333.255710227273</v>
      </c>
      <c r="H985" s="132">
        <v>93629.353636363638</v>
      </c>
      <c r="I985" s="133"/>
    </row>
    <row r="986" spans="1:9" x14ac:dyDescent="0.2">
      <c r="A986" s="75"/>
      <c r="B986" s="132"/>
      <c r="C986" s="132"/>
      <c r="D986" s="132" t="s">
        <v>961</v>
      </c>
      <c r="E986" s="132" t="s">
        <v>662</v>
      </c>
      <c r="F986" s="132">
        <v>0.12875000000000014</v>
      </c>
      <c r="G986" s="132">
        <v>12054.779280681832</v>
      </c>
      <c r="H986" s="132">
        <v>93629.353636363638</v>
      </c>
      <c r="I986" s="133"/>
    </row>
    <row r="987" spans="1:9" x14ac:dyDescent="0.2">
      <c r="A987" s="75"/>
      <c r="B987" s="132"/>
      <c r="C987" s="132"/>
      <c r="D987" s="132" t="s">
        <v>965</v>
      </c>
      <c r="E987" s="132" t="s">
        <v>662</v>
      </c>
      <c r="F987" s="132">
        <v>0.16124999999999989</v>
      </c>
      <c r="G987" s="132">
        <v>15097.733273863627</v>
      </c>
      <c r="H987" s="132">
        <v>93629.353636363638</v>
      </c>
      <c r="I987" s="133"/>
    </row>
    <row r="988" spans="1:9" x14ac:dyDescent="0.2">
      <c r="A988" s="75"/>
      <c r="B988" s="132"/>
      <c r="C988" s="132"/>
      <c r="D988" s="132" t="s">
        <v>946</v>
      </c>
      <c r="E988" s="132" t="s">
        <v>662</v>
      </c>
      <c r="F988" s="132">
        <v>0.16875000000000018</v>
      </c>
      <c r="G988" s="132">
        <v>15799.953426136381</v>
      </c>
      <c r="H988" s="132">
        <v>93629.353636363638</v>
      </c>
      <c r="I988" s="133"/>
    </row>
    <row r="989" spans="1:9" x14ac:dyDescent="0.2">
      <c r="A989" s="75"/>
      <c r="B989" s="132"/>
      <c r="C989" s="132"/>
      <c r="D989" s="132" t="s">
        <v>903</v>
      </c>
      <c r="E989" s="132" t="s">
        <v>662</v>
      </c>
      <c r="F989" s="132">
        <v>0.71250000000000002</v>
      </c>
      <c r="G989" s="132">
        <v>66710.914465909096</v>
      </c>
      <c r="H989" s="132">
        <v>93629.353636363638</v>
      </c>
      <c r="I989" s="133"/>
    </row>
    <row r="990" spans="1:9" x14ac:dyDescent="0.2">
      <c r="A990" s="75"/>
      <c r="B990" s="132"/>
      <c r="C990" s="132"/>
      <c r="D990" s="132" t="s">
        <v>904</v>
      </c>
      <c r="E990" s="132" t="s">
        <v>662</v>
      </c>
      <c r="F990" s="132">
        <v>0.13874999999999993</v>
      </c>
      <c r="G990" s="132">
        <v>12991.072817045448</v>
      </c>
      <c r="H990" s="132">
        <v>93629.353636363638</v>
      </c>
      <c r="I990" s="133"/>
    </row>
    <row r="991" spans="1:9" x14ac:dyDescent="0.2">
      <c r="A991" s="75"/>
      <c r="B991" s="132"/>
      <c r="C991" s="132"/>
      <c r="D991" s="132" t="s">
        <v>906</v>
      </c>
      <c r="E991" s="132" t="s">
        <v>662</v>
      </c>
      <c r="F991" s="132">
        <v>0.13874999999999993</v>
      </c>
      <c r="G991" s="132">
        <v>12991.072817045448</v>
      </c>
      <c r="H991" s="132">
        <v>93629.353636363638</v>
      </c>
      <c r="I991" s="133"/>
    </row>
    <row r="992" spans="1:9" x14ac:dyDescent="0.2">
      <c r="A992" s="75"/>
      <c r="B992" s="132"/>
      <c r="C992" s="132"/>
      <c r="D992" s="132" t="s">
        <v>898</v>
      </c>
      <c r="E992" s="132" t="s">
        <v>662</v>
      </c>
      <c r="F992" s="132">
        <v>0.19874999999999998</v>
      </c>
      <c r="G992" s="132">
        <v>18608.834035227272</v>
      </c>
      <c r="H992" s="132">
        <v>93629.353636363638</v>
      </c>
      <c r="I992" s="133"/>
    </row>
    <row r="993" spans="1:9" x14ac:dyDescent="0.2">
      <c r="A993" s="75">
        <v>162</v>
      </c>
      <c r="B993" s="132" t="s">
        <v>911</v>
      </c>
      <c r="C993" s="132">
        <v>24282</v>
      </c>
      <c r="D993" s="132" t="s">
        <v>938</v>
      </c>
      <c r="E993" s="132" t="s">
        <v>657</v>
      </c>
      <c r="F993" s="132">
        <v>1</v>
      </c>
      <c r="G993" s="132">
        <v>67881.272727272721</v>
      </c>
      <c r="H993" s="132">
        <v>67881.272727272721</v>
      </c>
      <c r="I993" s="133">
        <v>475168.909090909</v>
      </c>
    </row>
    <row r="994" spans="1:9" x14ac:dyDescent="0.2">
      <c r="A994" s="75"/>
      <c r="B994" s="132"/>
      <c r="C994" s="132"/>
      <c r="D994" s="132" t="s">
        <v>966</v>
      </c>
      <c r="E994" s="132" t="s">
        <v>657</v>
      </c>
      <c r="F994" s="132">
        <v>1</v>
      </c>
      <c r="G994" s="132">
        <v>67881.272727272721</v>
      </c>
      <c r="H994" s="132">
        <v>67881.272727272721</v>
      </c>
      <c r="I994" s="133"/>
    </row>
    <row r="995" spans="1:9" x14ac:dyDescent="0.2">
      <c r="A995" s="75"/>
      <c r="B995" s="132"/>
      <c r="C995" s="132"/>
      <c r="D995" s="132" t="s">
        <v>954</v>
      </c>
      <c r="E995" s="132" t="s">
        <v>657</v>
      </c>
      <c r="F995" s="132">
        <v>1</v>
      </c>
      <c r="G995" s="132">
        <v>67881.272727272721</v>
      </c>
      <c r="H995" s="132">
        <v>67881.272727272721</v>
      </c>
      <c r="I995" s="133"/>
    </row>
    <row r="996" spans="1:9" x14ac:dyDescent="0.2">
      <c r="A996" s="75"/>
      <c r="B996" s="132"/>
      <c r="C996" s="132"/>
      <c r="D996" s="132" t="s">
        <v>944</v>
      </c>
      <c r="E996" s="132" t="s">
        <v>657</v>
      </c>
      <c r="F996" s="132">
        <v>1</v>
      </c>
      <c r="G996" s="132">
        <v>67881.272727272721</v>
      </c>
      <c r="H996" s="132">
        <v>67881.272727272721</v>
      </c>
      <c r="I996" s="133"/>
    </row>
    <row r="997" spans="1:9" x14ac:dyDescent="0.2">
      <c r="A997" s="75"/>
      <c r="B997" s="132"/>
      <c r="C997" s="132"/>
      <c r="D997" s="132" t="s">
        <v>960</v>
      </c>
      <c r="E997" s="132" t="s">
        <v>657</v>
      </c>
      <c r="F997" s="132">
        <v>1</v>
      </c>
      <c r="G997" s="132">
        <v>67881.272727272721</v>
      </c>
      <c r="H997" s="132">
        <v>67881.272727272721</v>
      </c>
      <c r="I997" s="133"/>
    </row>
    <row r="998" spans="1:9" x14ac:dyDescent="0.2">
      <c r="A998" s="75"/>
      <c r="B998" s="132"/>
      <c r="C998" s="132"/>
      <c r="D998" s="132" t="s">
        <v>952</v>
      </c>
      <c r="E998" s="132" t="s">
        <v>657</v>
      </c>
      <c r="F998" s="132">
        <v>1</v>
      </c>
      <c r="G998" s="132">
        <v>67881.272727272721</v>
      </c>
      <c r="H998" s="132">
        <v>67881.272727272721</v>
      </c>
      <c r="I998" s="133"/>
    </row>
    <row r="999" spans="1:9" x14ac:dyDescent="0.2">
      <c r="A999" s="75"/>
      <c r="B999" s="132"/>
      <c r="C999" s="132"/>
      <c r="D999" s="132" t="s">
        <v>941</v>
      </c>
      <c r="E999" s="132" t="s">
        <v>657</v>
      </c>
      <c r="F999" s="132">
        <v>1</v>
      </c>
      <c r="G999" s="132">
        <v>67881.272727272721</v>
      </c>
      <c r="H999" s="132">
        <v>67881.272727272721</v>
      </c>
      <c r="I999" s="133"/>
    </row>
    <row r="1000" spans="1:9" x14ac:dyDescent="0.2">
      <c r="A1000" s="75">
        <v>163</v>
      </c>
      <c r="B1000" s="132" t="s">
        <v>831</v>
      </c>
      <c r="C1000" s="132">
        <v>24267</v>
      </c>
      <c r="D1000" s="132" t="s">
        <v>950</v>
      </c>
      <c r="E1000" s="132" t="s">
        <v>662</v>
      </c>
      <c r="F1000" s="132">
        <v>0.41250000000000009</v>
      </c>
      <c r="G1000" s="132">
        <v>38622.108375000011</v>
      </c>
      <c r="H1000" s="132">
        <v>93629.353636363638</v>
      </c>
      <c r="I1000" s="133">
        <v>144423.27798409091</v>
      </c>
    </row>
    <row r="1001" spans="1:9" x14ac:dyDescent="0.2">
      <c r="A1001" s="75"/>
      <c r="B1001" s="132"/>
      <c r="C1001" s="132"/>
      <c r="D1001" s="132" t="s">
        <v>941</v>
      </c>
      <c r="E1001" s="132" t="s">
        <v>657</v>
      </c>
      <c r="F1001" s="132">
        <v>0.85750000000000004</v>
      </c>
      <c r="G1001" s="132">
        <v>80287.170743181821</v>
      </c>
      <c r="H1001" s="132">
        <v>93629.353636363638</v>
      </c>
      <c r="I1001" s="133"/>
    </row>
    <row r="1002" spans="1:9" x14ac:dyDescent="0.2">
      <c r="A1002" s="75"/>
      <c r="B1002" s="132"/>
      <c r="C1002" s="132"/>
      <c r="D1002" s="132" t="s">
        <v>946</v>
      </c>
      <c r="E1002" s="132" t="s">
        <v>662</v>
      </c>
      <c r="F1002" s="132">
        <v>0.27249999999999996</v>
      </c>
      <c r="G1002" s="132">
        <v>25513.998865909089</v>
      </c>
      <c r="H1002" s="132">
        <v>93629.353636363638</v>
      </c>
      <c r="I1002" s="133"/>
    </row>
    <row r="1003" spans="1:9" x14ac:dyDescent="0.2">
      <c r="A1003" s="75"/>
      <c r="B1003" s="71"/>
      <c r="C1003" s="71"/>
      <c r="D1003" s="71"/>
      <c r="E1003" s="71"/>
      <c r="F1003" s="71"/>
      <c r="G1003" s="71">
        <v>0</v>
      </c>
      <c r="H1003" s="71">
        <v>93629.353636363638</v>
      </c>
      <c r="I1003" s="72"/>
    </row>
    <row r="1004" spans="1:9" x14ac:dyDescent="0.2">
      <c r="A1004" s="75">
        <v>164</v>
      </c>
      <c r="B1004" s="71" t="s">
        <v>850</v>
      </c>
      <c r="C1004" s="71">
        <v>24269</v>
      </c>
      <c r="D1004" s="71" t="s">
        <v>942</v>
      </c>
      <c r="E1004" s="71" t="s">
        <v>662</v>
      </c>
      <c r="F1004" s="71">
        <v>1</v>
      </c>
      <c r="G1004" s="71">
        <v>93629.353636363638</v>
      </c>
      <c r="H1004" s="71">
        <v>93629.353636363638</v>
      </c>
      <c r="I1004" s="72">
        <v>374517.41454545455</v>
      </c>
    </row>
    <row r="1005" spans="1:9" x14ac:dyDescent="0.2">
      <c r="A1005" s="75"/>
      <c r="B1005" s="71"/>
      <c r="C1005" s="71"/>
      <c r="D1005" s="71" t="s">
        <v>963</v>
      </c>
      <c r="E1005" s="71" t="s">
        <v>657</v>
      </c>
      <c r="F1005" s="71">
        <v>1</v>
      </c>
      <c r="G1005" s="71">
        <v>93629.353636363638</v>
      </c>
      <c r="H1005" s="71">
        <v>93629.353636363638</v>
      </c>
      <c r="I1005" s="72"/>
    </row>
    <row r="1006" spans="1:9" x14ac:dyDescent="0.2">
      <c r="A1006" s="75"/>
      <c r="B1006" s="71"/>
      <c r="C1006" s="71"/>
      <c r="D1006" s="71" t="s">
        <v>944</v>
      </c>
      <c r="E1006" s="71" t="s">
        <v>657</v>
      </c>
      <c r="F1006" s="71">
        <v>1</v>
      </c>
      <c r="G1006" s="71">
        <v>93629.353636363638</v>
      </c>
      <c r="H1006" s="71">
        <v>93629.353636363638</v>
      </c>
      <c r="I1006" s="72"/>
    </row>
    <row r="1007" spans="1:9" x14ac:dyDescent="0.2">
      <c r="A1007" s="75"/>
      <c r="B1007" s="71"/>
      <c r="C1007" s="71"/>
      <c r="D1007" s="71" t="s">
        <v>940</v>
      </c>
      <c r="E1007" s="71" t="s">
        <v>657</v>
      </c>
      <c r="F1007" s="71">
        <v>1</v>
      </c>
      <c r="G1007" s="71">
        <v>93629.353636363638</v>
      </c>
      <c r="H1007" s="71">
        <v>93629.353636363638</v>
      </c>
      <c r="I1007" s="72"/>
    </row>
    <row r="1008" spans="1:9" x14ac:dyDescent="0.2">
      <c r="A1008" s="75">
        <v>165</v>
      </c>
      <c r="B1008" s="71" t="s">
        <v>832</v>
      </c>
      <c r="C1008" s="71">
        <v>24270</v>
      </c>
      <c r="D1008" s="71"/>
      <c r="E1008" s="71"/>
      <c r="F1008" s="71"/>
      <c r="G1008" s="71">
        <v>0</v>
      </c>
      <c r="H1008" s="71">
        <v>136363.63636363635</v>
      </c>
      <c r="I1008" s="72">
        <v>0</v>
      </c>
    </row>
    <row r="1009" spans="1:9" x14ac:dyDescent="0.2">
      <c r="A1009" s="75"/>
      <c r="B1009" s="71"/>
      <c r="C1009" s="71"/>
      <c r="D1009" s="71"/>
      <c r="E1009" s="71"/>
      <c r="F1009" s="71"/>
      <c r="G1009" s="71">
        <v>0</v>
      </c>
      <c r="H1009" s="71">
        <v>136363.63636363635</v>
      </c>
      <c r="I1009" s="72"/>
    </row>
    <row r="1010" spans="1:9" x14ac:dyDescent="0.2">
      <c r="A1010" s="75"/>
      <c r="B1010" s="71"/>
      <c r="C1010" s="71"/>
      <c r="D1010" s="71"/>
      <c r="E1010" s="71"/>
      <c r="F1010" s="71"/>
      <c r="G1010" s="71">
        <v>0</v>
      </c>
      <c r="H1010" s="71">
        <v>136363.63636363635</v>
      </c>
      <c r="I1010" s="72"/>
    </row>
    <row r="1011" spans="1:9" x14ac:dyDescent="0.2">
      <c r="A1011" s="75"/>
      <c r="B1011" s="71"/>
      <c r="C1011" s="71"/>
      <c r="D1011" s="71"/>
      <c r="E1011" s="71"/>
      <c r="F1011" s="71"/>
      <c r="G1011" s="71">
        <v>0</v>
      </c>
      <c r="H1011" s="71">
        <v>136363.63636363635</v>
      </c>
      <c r="I1011" s="72"/>
    </row>
    <row r="1012" spans="1:9" x14ac:dyDescent="0.2">
      <c r="A1012" s="75"/>
      <c r="B1012" s="71"/>
      <c r="C1012" s="71"/>
      <c r="D1012" s="71"/>
      <c r="E1012" s="71"/>
      <c r="F1012" s="71"/>
      <c r="G1012" s="71">
        <v>0</v>
      </c>
      <c r="H1012" s="71">
        <v>136363.63636363635</v>
      </c>
      <c r="I1012" s="72"/>
    </row>
    <row r="1013" spans="1:9" x14ac:dyDescent="0.2">
      <c r="A1013" s="75"/>
      <c r="B1013" s="71"/>
      <c r="C1013" s="71"/>
      <c r="D1013" s="71"/>
      <c r="E1013" s="71"/>
      <c r="F1013" s="71"/>
      <c r="G1013" s="71">
        <v>0</v>
      </c>
      <c r="H1013" s="71">
        <v>136363.63636363635</v>
      </c>
      <c r="I1013" s="72"/>
    </row>
    <row r="1014" spans="1:9" x14ac:dyDescent="0.2">
      <c r="A1014" s="75">
        <v>166</v>
      </c>
      <c r="B1014" s="71" t="s">
        <v>912</v>
      </c>
      <c r="C1014" s="71">
        <v>24286</v>
      </c>
      <c r="D1014" s="71" t="s">
        <v>942</v>
      </c>
      <c r="E1014" s="71" t="s">
        <v>657</v>
      </c>
      <c r="F1014" s="71">
        <v>1</v>
      </c>
      <c r="G1014" s="71">
        <v>67881.272727272721</v>
      </c>
      <c r="H1014" s="71">
        <v>67881.272727272721</v>
      </c>
      <c r="I1014" s="72">
        <v>475168.909090909</v>
      </c>
    </row>
    <row r="1015" spans="1:9" x14ac:dyDescent="0.2">
      <c r="A1015" s="75"/>
      <c r="B1015" s="71"/>
      <c r="C1015" s="71"/>
      <c r="D1015" s="71" t="s">
        <v>943</v>
      </c>
      <c r="E1015" s="71" t="s">
        <v>657</v>
      </c>
      <c r="F1015" s="71">
        <v>1</v>
      </c>
      <c r="G1015" s="71">
        <v>67881.272727272721</v>
      </c>
      <c r="H1015" s="71">
        <v>67881.272727272721</v>
      </c>
      <c r="I1015" s="72"/>
    </row>
    <row r="1016" spans="1:9" x14ac:dyDescent="0.2">
      <c r="A1016" s="75"/>
      <c r="B1016" s="71"/>
      <c r="C1016" s="71"/>
      <c r="D1016" s="71" t="s">
        <v>947</v>
      </c>
      <c r="E1016" s="71" t="s">
        <v>657</v>
      </c>
      <c r="F1016" s="71">
        <v>1</v>
      </c>
      <c r="G1016" s="71">
        <v>67881.272727272721</v>
      </c>
      <c r="H1016" s="71">
        <v>67881.272727272721</v>
      </c>
      <c r="I1016" s="72"/>
    </row>
    <row r="1017" spans="1:9" x14ac:dyDescent="0.2">
      <c r="A1017" s="75"/>
      <c r="B1017" s="71"/>
      <c r="C1017" s="71"/>
      <c r="D1017" s="71" t="s">
        <v>962</v>
      </c>
      <c r="E1017" s="71" t="s">
        <v>657</v>
      </c>
      <c r="F1017" s="71">
        <v>1</v>
      </c>
      <c r="G1017" s="71">
        <v>67881.272727272721</v>
      </c>
      <c r="H1017" s="71">
        <v>67881.272727272721</v>
      </c>
      <c r="I1017" s="72"/>
    </row>
    <row r="1018" spans="1:9" x14ac:dyDescent="0.2">
      <c r="A1018" s="75"/>
      <c r="B1018" s="71"/>
      <c r="C1018" s="71"/>
      <c r="D1018" s="71" t="s">
        <v>951</v>
      </c>
      <c r="E1018" s="71" t="s">
        <v>657</v>
      </c>
      <c r="F1018" s="71">
        <v>1</v>
      </c>
      <c r="G1018" s="71">
        <v>67881.272727272721</v>
      </c>
      <c r="H1018" s="71">
        <v>67881.272727272721</v>
      </c>
      <c r="I1018" s="72"/>
    </row>
    <row r="1019" spans="1:9" x14ac:dyDescent="0.2">
      <c r="A1019" s="75"/>
      <c r="B1019" s="71"/>
      <c r="C1019" s="71"/>
      <c r="D1019" s="71" t="s">
        <v>956</v>
      </c>
      <c r="E1019" s="71" t="s">
        <v>657</v>
      </c>
      <c r="F1019" s="71">
        <v>1</v>
      </c>
      <c r="G1019" s="71">
        <v>67881.272727272721</v>
      </c>
      <c r="H1019" s="71">
        <v>67881.272727272721</v>
      </c>
      <c r="I1019" s="72"/>
    </row>
    <row r="1020" spans="1:9" x14ac:dyDescent="0.2">
      <c r="A1020" s="75"/>
      <c r="B1020" s="71"/>
      <c r="C1020" s="71"/>
      <c r="D1020" s="71" t="s">
        <v>945</v>
      </c>
      <c r="E1020" s="71" t="s">
        <v>657</v>
      </c>
      <c r="F1020" s="71">
        <v>1</v>
      </c>
      <c r="G1020" s="71">
        <v>67881.272727272721</v>
      </c>
      <c r="H1020" s="71">
        <v>67881.272727272721</v>
      </c>
      <c r="I1020" s="72"/>
    </row>
    <row r="1021" spans="1:9" x14ac:dyDescent="0.2">
      <c r="A1021" s="75">
        <v>167</v>
      </c>
      <c r="B1021" s="132" t="s">
        <v>913</v>
      </c>
      <c r="C1021" s="132">
        <v>24287</v>
      </c>
      <c r="D1021" s="132" t="s">
        <v>938</v>
      </c>
      <c r="E1021" s="132" t="s">
        <v>657</v>
      </c>
      <c r="F1021" s="132">
        <v>1</v>
      </c>
      <c r="G1021" s="132">
        <v>93629.353636363638</v>
      </c>
      <c r="H1021" s="132">
        <v>93629.353636363638</v>
      </c>
      <c r="I1021" s="133">
        <v>280888.06090909091</v>
      </c>
    </row>
    <row r="1022" spans="1:9" x14ac:dyDescent="0.2">
      <c r="A1022" s="75"/>
      <c r="B1022" s="132"/>
      <c r="C1022" s="132"/>
      <c r="D1022" s="132" t="s">
        <v>964</v>
      </c>
      <c r="E1022" s="132" t="s">
        <v>657</v>
      </c>
      <c r="F1022" s="132">
        <v>1</v>
      </c>
      <c r="G1022" s="132">
        <v>93629.353636363638</v>
      </c>
      <c r="H1022" s="132">
        <v>93629.353636363638</v>
      </c>
      <c r="I1022" s="133"/>
    </row>
    <row r="1023" spans="1:9" x14ac:dyDescent="0.2">
      <c r="A1023" s="75"/>
      <c r="B1023" s="132"/>
      <c r="C1023" s="132"/>
      <c r="D1023" s="132" t="s">
        <v>961</v>
      </c>
      <c r="E1023" s="132" t="s">
        <v>662</v>
      </c>
      <c r="F1023" s="132">
        <v>1</v>
      </c>
      <c r="G1023" s="132">
        <v>93629.353636363638</v>
      </c>
      <c r="H1023" s="132">
        <v>93629.353636363638</v>
      </c>
      <c r="I1023" s="133"/>
    </row>
    <row r="1024" spans="1:9" x14ac:dyDescent="0.2">
      <c r="A1024" s="75"/>
      <c r="B1024" s="71"/>
      <c r="C1024" s="71"/>
      <c r="D1024" s="71"/>
      <c r="E1024" s="71"/>
      <c r="F1024" s="71"/>
      <c r="G1024" s="71">
        <v>0</v>
      </c>
      <c r="H1024" s="71">
        <v>93629.353636363638</v>
      </c>
      <c r="I1024" s="72"/>
    </row>
    <row r="1025" spans="1:9" x14ac:dyDescent="0.2">
      <c r="A1025" s="75"/>
      <c r="B1025" s="71"/>
      <c r="C1025" s="71"/>
      <c r="D1025" s="71"/>
      <c r="E1025" s="71"/>
      <c r="F1025" s="71"/>
      <c r="G1025" s="71">
        <v>0</v>
      </c>
      <c r="H1025" s="71">
        <v>93629.353636363638</v>
      </c>
      <c r="I1025" s="72"/>
    </row>
    <row r="1026" spans="1:9" x14ac:dyDescent="0.2">
      <c r="A1026" s="75"/>
      <c r="B1026" s="71"/>
      <c r="C1026" s="71"/>
      <c r="D1026" s="71"/>
      <c r="E1026" s="71"/>
      <c r="F1026" s="71"/>
      <c r="G1026" s="71">
        <v>0</v>
      </c>
      <c r="H1026" s="71">
        <v>93629.353636363638</v>
      </c>
      <c r="I1026" s="72"/>
    </row>
    <row r="1027" spans="1:9" x14ac:dyDescent="0.2">
      <c r="A1027" s="75"/>
      <c r="B1027" s="71"/>
      <c r="C1027" s="71"/>
      <c r="D1027" s="71"/>
      <c r="E1027" s="71"/>
      <c r="F1027" s="71"/>
      <c r="G1027" s="71">
        <v>0</v>
      </c>
      <c r="H1027" s="71">
        <v>93629.353636363638</v>
      </c>
      <c r="I1027" s="72"/>
    </row>
    <row r="1028" spans="1:9" x14ac:dyDescent="0.2">
      <c r="A1028" s="75">
        <v>168</v>
      </c>
      <c r="B1028" s="132" t="s">
        <v>914</v>
      </c>
      <c r="C1028" s="132">
        <v>24285</v>
      </c>
      <c r="D1028" s="132" t="s">
        <v>960</v>
      </c>
      <c r="E1028" s="132" t="s">
        <v>658</v>
      </c>
      <c r="F1028" s="132">
        <v>0.875</v>
      </c>
      <c r="G1028" s="132">
        <v>81925.684431818183</v>
      </c>
      <c r="H1028" s="132">
        <v>93629.353636363638</v>
      </c>
      <c r="I1028" s="133">
        <v>81925.684431818183</v>
      </c>
    </row>
    <row r="1029" spans="1:9" x14ac:dyDescent="0.2">
      <c r="A1029" s="75"/>
      <c r="B1029" s="71"/>
      <c r="C1029" s="71"/>
      <c r="D1029" s="71"/>
      <c r="E1029" s="71"/>
      <c r="F1029" s="71"/>
      <c r="G1029" s="71">
        <v>0</v>
      </c>
      <c r="H1029" s="71">
        <v>93629.353636363638</v>
      </c>
      <c r="I1029" s="72"/>
    </row>
    <row r="1030" spans="1:9" x14ac:dyDescent="0.2">
      <c r="A1030" s="75"/>
      <c r="B1030" s="71"/>
      <c r="C1030" s="71"/>
      <c r="D1030" s="71"/>
      <c r="E1030" s="71"/>
      <c r="F1030" s="71"/>
      <c r="G1030" s="71">
        <v>0</v>
      </c>
      <c r="H1030" s="71">
        <v>93629.353636363638</v>
      </c>
      <c r="I1030" s="72"/>
    </row>
    <row r="1031" spans="1:9" x14ac:dyDescent="0.2">
      <c r="A1031" s="75"/>
      <c r="B1031" s="71"/>
      <c r="C1031" s="71"/>
      <c r="D1031" s="71"/>
      <c r="E1031" s="71"/>
      <c r="F1031" s="71"/>
      <c r="G1031" s="71">
        <v>0</v>
      </c>
      <c r="H1031" s="71">
        <v>93629.353636363638</v>
      </c>
      <c r="I1031" s="72"/>
    </row>
    <row r="1032" spans="1:9" x14ac:dyDescent="0.2">
      <c r="A1032" s="75"/>
      <c r="B1032" s="71"/>
      <c r="C1032" s="71"/>
      <c r="D1032" s="71"/>
      <c r="E1032" s="71"/>
      <c r="F1032" s="71"/>
      <c r="G1032" s="71">
        <v>0</v>
      </c>
      <c r="H1032" s="71">
        <v>93629.353636363638</v>
      </c>
      <c r="I1032" s="72"/>
    </row>
    <row r="1033" spans="1:9" x14ac:dyDescent="0.2">
      <c r="A1033" s="75">
        <v>169</v>
      </c>
      <c r="B1033" s="132" t="s">
        <v>856</v>
      </c>
      <c r="C1033" s="132">
        <v>24278</v>
      </c>
      <c r="D1033" s="132" t="s">
        <v>941</v>
      </c>
      <c r="E1033" s="132" t="s">
        <v>657</v>
      </c>
      <c r="F1033" s="132">
        <v>1</v>
      </c>
      <c r="G1033" s="132">
        <v>99481.188181818186</v>
      </c>
      <c r="H1033" s="132">
        <v>99481.188181818186</v>
      </c>
      <c r="I1033" s="133">
        <v>99481.188181818186</v>
      </c>
    </row>
    <row r="1034" spans="1:9" x14ac:dyDescent="0.2">
      <c r="A1034" s="75"/>
      <c r="B1034" s="71"/>
      <c r="C1034" s="71"/>
      <c r="D1034" s="71"/>
      <c r="E1034" s="71"/>
      <c r="F1034" s="71"/>
      <c r="G1034" s="71">
        <v>0</v>
      </c>
      <c r="H1034" s="71">
        <v>99481.188181818186</v>
      </c>
      <c r="I1034" s="72"/>
    </row>
    <row r="1035" spans="1:9" x14ac:dyDescent="0.2">
      <c r="A1035" s="75"/>
      <c r="B1035" s="71"/>
      <c r="C1035" s="71"/>
      <c r="D1035" s="71"/>
      <c r="E1035" s="71"/>
      <c r="F1035" s="71"/>
      <c r="G1035" s="71">
        <v>0</v>
      </c>
      <c r="H1035" s="71">
        <v>99481.188181818186</v>
      </c>
      <c r="I1035" s="72"/>
    </row>
    <row r="1036" spans="1:9" x14ac:dyDescent="0.2">
      <c r="A1036" s="75"/>
      <c r="B1036" s="71"/>
      <c r="C1036" s="71"/>
      <c r="D1036" s="71"/>
      <c r="E1036" s="71"/>
      <c r="F1036" s="71"/>
      <c r="G1036" s="71">
        <v>0</v>
      </c>
      <c r="H1036" s="71">
        <v>99481.188181818186</v>
      </c>
      <c r="I1036" s="72"/>
    </row>
    <row r="1037" spans="1:9" x14ac:dyDescent="0.2">
      <c r="A1037" s="75"/>
      <c r="B1037" s="71"/>
      <c r="C1037" s="71"/>
      <c r="D1037" s="71"/>
      <c r="E1037" s="71"/>
      <c r="F1037" s="71"/>
      <c r="G1037" s="71">
        <v>0</v>
      </c>
      <c r="H1037" s="71">
        <v>99481.188181818186</v>
      </c>
      <c r="I1037" s="72"/>
    </row>
    <row r="1038" spans="1:9" x14ac:dyDescent="0.2">
      <c r="A1038" s="75"/>
      <c r="B1038" s="71"/>
      <c r="C1038" s="71"/>
      <c r="D1038" s="71"/>
      <c r="E1038" s="71"/>
      <c r="F1038" s="71"/>
      <c r="G1038" s="71">
        <v>0</v>
      </c>
      <c r="H1038" s="71">
        <v>99481.188181818186</v>
      </c>
      <c r="I1038" s="72"/>
    </row>
    <row r="1039" spans="1:9" x14ac:dyDescent="0.2">
      <c r="A1039" s="75"/>
      <c r="B1039" s="71"/>
      <c r="C1039" s="71"/>
      <c r="D1039" s="71"/>
      <c r="E1039" s="71"/>
      <c r="F1039" s="71"/>
      <c r="G1039" s="71">
        <v>0</v>
      </c>
      <c r="H1039" s="71">
        <v>99481.188181818186</v>
      </c>
      <c r="I1039" s="72"/>
    </row>
    <row r="1040" spans="1:9" x14ac:dyDescent="0.2">
      <c r="A1040" s="75"/>
      <c r="B1040" s="71"/>
      <c r="C1040" s="71"/>
      <c r="D1040" s="71"/>
      <c r="E1040" s="71"/>
      <c r="F1040" s="71"/>
      <c r="G1040" s="71">
        <v>0</v>
      </c>
      <c r="H1040" s="71">
        <v>99481.188181818186</v>
      </c>
      <c r="I1040" s="72"/>
    </row>
    <row r="1041" spans="1:9" x14ac:dyDescent="0.2">
      <c r="A1041" s="75">
        <v>170</v>
      </c>
      <c r="B1041" s="132" t="s">
        <v>855</v>
      </c>
      <c r="C1041" s="132">
        <v>24277</v>
      </c>
      <c r="D1041" s="132" t="s">
        <v>944</v>
      </c>
      <c r="E1041" s="132" t="s">
        <v>659</v>
      </c>
      <c r="F1041" s="132">
        <v>1</v>
      </c>
      <c r="G1041" s="132">
        <v>99481.188181818186</v>
      </c>
      <c r="H1041" s="132">
        <v>99481.188181818186</v>
      </c>
      <c r="I1041" s="133">
        <v>198962.37636363637</v>
      </c>
    </row>
    <row r="1042" spans="1:9" x14ac:dyDescent="0.2">
      <c r="A1042" s="75"/>
      <c r="B1042" s="132"/>
      <c r="C1042" s="132"/>
      <c r="D1042" s="132" t="s">
        <v>941</v>
      </c>
      <c r="E1042" s="132" t="s">
        <v>658</v>
      </c>
      <c r="F1042" s="132">
        <v>1</v>
      </c>
      <c r="G1042" s="132">
        <v>99481.188181818186</v>
      </c>
      <c r="H1042" s="132">
        <v>99481.188181818186</v>
      </c>
      <c r="I1042" s="133"/>
    </row>
    <row r="1043" spans="1:9" x14ac:dyDescent="0.2">
      <c r="A1043" s="75"/>
      <c r="B1043" s="71"/>
      <c r="C1043" s="71"/>
      <c r="D1043" s="71"/>
      <c r="E1043" s="71"/>
      <c r="F1043" s="71"/>
      <c r="G1043" s="71">
        <v>0</v>
      </c>
      <c r="H1043" s="71">
        <v>99481.188181818186</v>
      </c>
      <c r="I1043" s="72"/>
    </row>
    <row r="1044" spans="1:9" x14ac:dyDescent="0.2">
      <c r="A1044" s="75"/>
      <c r="B1044" s="71"/>
      <c r="C1044" s="71"/>
      <c r="D1044" s="71"/>
      <c r="E1044" s="71"/>
      <c r="F1044" s="71"/>
      <c r="G1044" s="71">
        <v>0</v>
      </c>
      <c r="H1044" s="71">
        <v>99481.188181818186</v>
      </c>
      <c r="I1044" s="72"/>
    </row>
    <row r="1045" spans="1:9" x14ac:dyDescent="0.2">
      <c r="A1045" s="75"/>
      <c r="B1045" s="71"/>
      <c r="C1045" s="71"/>
      <c r="D1045" s="71"/>
      <c r="E1045" s="71"/>
      <c r="F1045" s="71"/>
      <c r="G1045" s="71">
        <v>0</v>
      </c>
      <c r="H1045" s="71">
        <v>99481.188181818186</v>
      </c>
      <c r="I1045" s="72"/>
    </row>
    <row r="1046" spans="1:9" x14ac:dyDescent="0.2">
      <c r="A1046" s="75"/>
      <c r="B1046" s="71"/>
      <c r="C1046" s="71"/>
      <c r="D1046" s="71"/>
      <c r="E1046" s="71"/>
      <c r="F1046" s="71"/>
      <c r="G1046" s="71">
        <v>0</v>
      </c>
      <c r="H1046" s="71">
        <v>99481.188181818186</v>
      </c>
      <c r="I1046" s="72"/>
    </row>
    <row r="1047" spans="1:9" x14ac:dyDescent="0.2">
      <c r="A1047" s="75"/>
      <c r="B1047" s="71"/>
      <c r="C1047" s="71"/>
      <c r="D1047" s="71"/>
      <c r="E1047" s="71"/>
      <c r="F1047" s="71"/>
      <c r="G1047" s="71">
        <v>0</v>
      </c>
      <c r="H1047" s="71">
        <v>99481.188181818186</v>
      </c>
      <c r="I1047" s="72"/>
    </row>
    <row r="1048" spans="1:9" x14ac:dyDescent="0.2">
      <c r="A1048" s="75">
        <v>171</v>
      </c>
      <c r="B1048" s="132" t="s">
        <v>857</v>
      </c>
      <c r="C1048" s="132">
        <v>24284</v>
      </c>
      <c r="D1048" s="132" t="s">
        <v>938</v>
      </c>
      <c r="E1048" s="132" t="s">
        <v>657</v>
      </c>
      <c r="F1048" s="132">
        <v>0.78750000000000009</v>
      </c>
      <c r="G1048" s="132">
        <v>73733.115988636375</v>
      </c>
      <c r="H1048" s="132">
        <v>93629.353636363638</v>
      </c>
      <c r="I1048" s="133">
        <v>73733.115988636375</v>
      </c>
    </row>
    <row r="1049" spans="1:9" x14ac:dyDescent="0.2">
      <c r="A1049" s="75"/>
      <c r="B1049" s="71"/>
      <c r="C1049" s="71"/>
      <c r="D1049" s="71"/>
      <c r="E1049" s="71"/>
      <c r="F1049" s="71"/>
      <c r="G1049" s="71">
        <v>0</v>
      </c>
      <c r="H1049" s="71">
        <v>93629.353636363638</v>
      </c>
      <c r="I1049" s="72"/>
    </row>
    <row r="1050" spans="1:9" x14ac:dyDescent="0.2">
      <c r="A1050" s="75"/>
      <c r="B1050" s="71"/>
      <c r="C1050" s="71"/>
      <c r="D1050" s="71"/>
      <c r="E1050" s="71"/>
      <c r="F1050" s="71"/>
      <c r="G1050" s="71">
        <v>0</v>
      </c>
      <c r="H1050" s="71">
        <v>93629.353636363638</v>
      </c>
      <c r="I1050" s="72"/>
    </row>
    <row r="1051" spans="1:9" x14ac:dyDescent="0.2">
      <c r="A1051" s="75"/>
      <c r="B1051" s="71"/>
      <c r="C1051" s="71"/>
      <c r="D1051" s="71"/>
      <c r="E1051" s="71"/>
      <c r="F1051" s="71"/>
      <c r="G1051" s="71">
        <v>0</v>
      </c>
      <c r="H1051" s="71">
        <v>93629.353636363638</v>
      </c>
      <c r="I1051" s="72"/>
    </row>
    <row r="1052" spans="1:9" x14ac:dyDescent="0.2">
      <c r="A1052" s="75"/>
      <c r="B1052" s="71"/>
      <c r="C1052" s="71"/>
      <c r="D1052" s="71"/>
      <c r="E1052" s="71"/>
      <c r="F1052" s="71"/>
      <c r="G1052" s="71">
        <v>0</v>
      </c>
      <c r="H1052" s="71">
        <v>93629.353636363638</v>
      </c>
      <c r="I1052" s="72"/>
    </row>
    <row r="1053" spans="1:9" x14ac:dyDescent="0.2">
      <c r="A1053" s="75"/>
      <c r="B1053" s="71"/>
      <c r="C1053" s="71"/>
      <c r="D1053" s="71"/>
      <c r="E1053" s="71"/>
      <c r="F1053" s="71"/>
      <c r="G1053" s="71">
        <v>0</v>
      </c>
      <c r="H1053" s="71">
        <v>93629.353636363638</v>
      </c>
      <c r="I1053" s="72"/>
    </row>
    <row r="1054" spans="1:9" x14ac:dyDescent="0.2">
      <c r="A1054" s="75"/>
      <c r="B1054" s="71"/>
      <c r="C1054" s="71"/>
      <c r="D1054" s="71"/>
      <c r="E1054" s="71"/>
      <c r="F1054" s="71"/>
      <c r="G1054" s="71">
        <v>0</v>
      </c>
      <c r="H1054" s="71">
        <v>93629.353636363638</v>
      </c>
      <c r="I1054" s="72"/>
    </row>
    <row r="1055" spans="1:9" x14ac:dyDescent="0.2">
      <c r="A1055" s="75">
        <v>172</v>
      </c>
      <c r="B1055" s="132" t="s">
        <v>923</v>
      </c>
      <c r="C1055" s="132">
        <v>24289</v>
      </c>
      <c r="D1055" s="132" t="s">
        <v>938</v>
      </c>
      <c r="E1055" s="132" t="s">
        <v>659</v>
      </c>
      <c r="F1055" s="132">
        <v>1</v>
      </c>
      <c r="G1055" s="132">
        <v>99481.188181818186</v>
      </c>
      <c r="H1055" s="132">
        <v>99481.188181818186</v>
      </c>
      <c r="I1055" s="133">
        <v>198962.37636363637</v>
      </c>
    </row>
    <row r="1056" spans="1:9" x14ac:dyDescent="0.2">
      <c r="A1056" s="75"/>
      <c r="B1056" s="132"/>
      <c r="C1056" s="132"/>
      <c r="D1056" s="132" t="s">
        <v>949</v>
      </c>
      <c r="E1056" s="132" t="s">
        <v>659</v>
      </c>
      <c r="F1056" s="132">
        <v>1</v>
      </c>
      <c r="G1056" s="132">
        <v>99481.188181818186</v>
      </c>
      <c r="H1056" s="132">
        <v>99481.188181818186</v>
      </c>
      <c r="I1056" s="133"/>
    </row>
    <row r="1057" spans="1:9" x14ac:dyDescent="0.2">
      <c r="A1057" s="75"/>
      <c r="B1057" s="71"/>
      <c r="C1057" s="71"/>
      <c r="D1057" s="71"/>
      <c r="E1057" s="71"/>
      <c r="F1057" s="71"/>
      <c r="G1057" s="71">
        <v>0</v>
      </c>
      <c r="H1057" s="71">
        <v>99481.188181818186</v>
      </c>
      <c r="I1057" s="72"/>
    </row>
    <row r="1058" spans="1:9" x14ac:dyDescent="0.2">
      <c r="A1058" s="75"/>
      <c r="B1058" s="71"/>
      <c r="C1058" s="71"/>
      <c r="D1058" s="71"/>
      <c r="E1058" s="71"/>
      <c r="F1058" s="71"/>
      <c r="G1058" s="71">
        <v>0</v>
      </c>
      <c r="H1058" s="71">
        <v>99481.188181818186</v>
      </c>
      <c r="I1058" s="72"/>
    </row>
    <row r="1059" spans="1:9" x14ac:dyDescent="0.2">
      <c r="A1059" s="75"/>
      <c r="B1059" s="71"/>
      <c r="C1059" s="71"/>
      <c r="D1059" s="71"/>
      <c r="E1059" s="71"/>
      <c r="F1059" s="71"/>
      <c r="G1059" s="71">
        <v>0</v>
      </c>
      <c r="H1059" s="71">
        <v>99481.188181818186</v>
      </c>
      <c r="I1059" s="72"/>
    </row>
    <row r="1060" spans="1:9" x14ac:dyDescent="0.2">
      <c r="A1060" s="75"/>
      <c r="B1060" s="71"/>
      <c r="C1060" s="71"/>
      <c r="D1060" s="71"/>
      <c r="E1060" s="71"/>
      <c r="F1060" s="71"/>
      <c r="G1060" s="71">
        <v>0</v>
      </c>
      <c r="H1060" s="71">
        <v>99481.188181818186</v>
      </c>
      <c r="I1060" s="72"/>
    </row>
    <row r="1061" spans="1:9" x14ac:dyDescent="0.2">
      <c r="A1061" s="75"/>
      <c r="B1061" s="71"/>
      <c r="C1061" s="71"/>
      <c r="D1061" s="71"/>
      <c r="E1061" s="71"/>
      <c r="F1061" s="71"/>
      <c r="G1061" s="71">
        <v>0</v>
      </c>
      <c r="H1061" s="71">
        <v>99481.188181818186</v>
      </c>
      <c r="I1061" s="72"/>
    </row>
    <row r="1062" spans="1:9" x14ac:dyDescent="0.2">
      <c r="A1062" s="75"/>
      <c r="B1062" s="71"/>
      <c r="C1062" s="71"/>
      <c r="D1062" s="71"/>
      <c r="E1062" s="71"/>
      <c r="F1062" s="71"/>
      <c r="G1062" s="71">
        <v>0</v>
      </c>
      <c r="H1062" s="71">
        <v>99481.188181818186</v>
      </c>
      <c r="I1062" s="72"/>
    </row>
    <row r="1063" spans="1:9" x14ac:dyDescent="0.2">
      <c r="A1063" s="75">
        <v>173</v>
      </c>
      <c r="B1063" s="132" t="s">
        <v>918</v>
      </c>
      <c r="C1063" s="132">
        <v>24279</v>
      </c>
      <c r="D1063" s="132" t="s">
        <v>950</v>
      </c>
      <c r="E1063" s="132" t="s">
        <v>662</v>
      </c>
      <c r="F1063" s="132">
        <v>0.89124999999999988</v>
      </c>
      <c r="G1063" s="132">
        <v>88662.608967045453</v>
      </c>
      <c r="H1063" s="132">
        <v>99481.188181818186</v>
      </c>
      <c r="I1063" s="133">
        <v>430753.54482727277</v>
      </c>
    </row>
    <row r="1064" spans="1:9" x14ac:dyDescent="0.2">
      <c r="A1064" s="75"/>
      <c r="B1064" s="132"/>
      <c r="C1064" s="132"/>
      <c r="D1064" s="132" t="s">
        <v>963</v>
      </c>
      <c r="E1064" s="132" t="s">
        <v>662</v>
      </c>
      <c r="F1064" s="132">
        <v>0.90375000000000005</v>
      </c>
      <c r="G1064" s="132">
        <v>89906.123819318193</v>
      </c>
      <c r="H1064" s="132">
        <v>99481.188181818186</v>
      </c>
      <c r="I1064" s="133"/>
    </row>
    <row r="1065" spans="1:9" x14ac:dyDescent="0.2">
      <c r="A1065" s="75"/>
      <c r="B1065" s="132"/>
      <c r="C1065" s="132"/>
      <c r="D1065" s="132" t="s">
        <v>966</v>
      </c>
      <c r="E1065" s="132" t="s">
        <v>662</v>
      </c>
      <c r="F1065" s="132">
        <v>0.40249999999999986</v>
      </c>
      <c r="G1065" s="132">
        <v>40041.178243181806</v>
      </c>
      <c r="H1065" s="132">
        <v>99481.188181818186</v>
      </c>
      <c r="I1065" s="133"/>
    </row>
    <row r="1066" spans="1:9" x14ac:dyDescent="0.2">
      <c r="A1066" s="75"/>
      <c r="B1066" s="132"/>
      <c r="C1066" s="132"/>
      <c r="D1066" s="132" t="s">
        <v>955</v>
      </c>
      <c r="E1066" s="132" t="s">
        <v>662</v>
      </c>
      <c r="F1066" s="132">
        <v>0.31000000000000005</v>
      </c>
      <c r="G1066" s="132">
        <v>30839.168336363644</v>
      </c>
      <c r="H1066" s="132">
        <v>99481.188181818186</v>
      </c>
      <c r="I1066" s="133"/>
    </row>
    <row r="1067" spans="1:9" x14ac:dyDescent="0.2">
      <c r="A1067" s="75"/>
      <c r="B1067" s="132"/>
      <c r="C1067" s="132"/>
      <c r="D1067" s="132" t="s">
        <v>948</v>
      </c>
      <c r="E1067" s="132" t="s">
        <v>662</v>
      </c>
      <c r="F1067" s="132">
        <v>0.6262500000000002</v>
      </c>
      <c r="G1067" s="132">
        <v>62300.094098863658</v>
      </c>
      <c r="H1067" s="132">
        <v>99481.188181818186</v>
      </c>
      <c r="I1067" s="133"/>
    </row>
    <row r="1068" spans="1:9" x14ac:dyDescent="0.2">
      <c r="A1068" s="75"/>
      <c r="B1068" s="132"/>
      <c r="C1068" s="132"/>
      <c r="D1068" s="132" t="s">
        <v>961</v>
      </c>
      <c r="E1068" s="132" t="s">
        <v>662</v>
      </c>
      <c r="F1068" s="132">
        <v>0.88249999999999984</v>
      </c>
      <c r="G1068" s="132">
        <v>87792.148570454534</v>
      </c>
      <c r="H1068" s="132">
        <v>99481.188181818186</v>
      </c>
      <c r="I1068" s="133"/>
    </row>
    <row r="1069" spans="1:9" x14ac:dyDescent="0.2">
      <c r="A1069" s="75"/>
      <c r="B1069" s="132"/>
      <c r="C1069" s="132"/>
      <c r="D1069" s="132" t="s">
        <v>945</v>
      </c>
      <c r="E1069" s="132" t="s">
        <v>662</v>
      </c>
      <c r="F1069" s="132">
        <v>0.3137500000000002</v>
      </c>
      <c r="G1069" s="132">
        <v>31212.222792045475</v>
      </c>
      <c r="H1069" s="132">
        <v>99481.188181818186</v>
      </c>
      <c r="I1069" s="133"/>
    </row>
    <row r="1070" spans="1:9" x14ac:dyDescent="0.2">
      <c r="A1070" s="75">
        <v>1</v>
      </c>
      <c r="B1070" s="132" t="s">
        <v>334</v>
      </c>
      <c r="C1070" s="132">
        <v>24221</v>
      </c>
      <c r="D1070" s="132" t="s">
        <v>955</v>
      </c>
      <c r="E1070" s="132" t="s">
        <v>662</v>
      </c>
      <c r="F1070" s="132">
        <v>0.53874999999999984</v>
      </c>
      <c r="G1070" s="132">
        <v>40984.786442613622</v>
      </c>
      <c r="H1070" s="132">
        <v>76073.849545454548</v>
      </c>
      <c r="I1070" s="133">
        <v>192276.65472613636</v>
      </c>
    </row>
    <row r="1071" spans="1:9" x14ac:dyDescent="0.2">
      <c r="A1071" s="75"/>
      <c r="B1071" s="132"/>
      <c r="C1071" s="132"/>
      <c r="D1071" s="132" t="s">
        <v>939</v>
      </c>
      <c r="E1071" s="132" t="s">
        <v>657</v>
      </c>
      <c r="F1071" s="132">
        <v>0.83000000000000007</v>
      </c>
      <c r="G1071" s="132">
        <v>63141.295122727279</v>
      </c>
      <c r="H1071" s="132">
        <v>76073.849545454548</v>
      </c>
      <c r="I1071" s="133"/>
    </row>
    <row r="1072" spans="1:9" x14ac:dyDescent="0.2">
      <c r="A1072" s="75"/>
      <c r="B1072" s="132"/>
      <c r="C1072" s="132"/>
      <c r="D1072" s="132" t="s">
        <v>956</v>
      </c>
      <c r="E1072" s="132" t="s">
        <v>662</v>
      </c>
      <c r="F1072" s="132">
        <v>0.38624999999999998</v>
      </c>
      <c r="G1072" s="132">
        <v>29383.524386931818</v>
      </c>
      <c r="H1072" s="132">
        <v>76073.849545454548</v>
      </c>
      <c r="I1072" s="133"/>
    </row>
    <row r="1073" spans="1:9" x14ac:dyDescent="0.2">
      <c r="A1073" s="75"/>
      <c r="B1073" s="132"/>
      <c r="C1073" s="132"/>
      <c r="D1073" s="132" t="s">
        <v>953</v>
      </c>
      <c r="E1073" s="132" t="s">
        <v>657</v>
      </c>
      <c r="F1073" s="132">
        <v>0.77249999999999996</v>
      </c>
      <c r="G1073" s="132">
        <v>58767.048773863637</v>
      </c>
      <c r="H1073" s="132">
        <v>76073.849545454548</v>
      </c>
      <c r="I1073" s="133"/>
    </row>
    <row r="1074" spans="1:9" x14ac:dyDescent="0.2">
      <c r="A1074" s="75"/>
      <c r="B1074" s="71"/>
      <c r="C1074" s="71"/>
      <c r="D1074" s="71"/>
      <c r="E1074" s="71"/>
      <c r="F1074" s="71"/>
      <c r="G1074" s="71">
        <v>0</v>
      </c>
      <c r="H1074" s="71">
        <v>76073.849545454548</v>
      </c>
      <c r="I1074" s="72"/>
    </row>
    <row r="1075" spans="1:9" x14ac:dyDescent="0.2">
      <c r="A1075" s="75"/>
      <c r="B1075" s="71"/>
      <c r="C1075" s="71"/>
      <c r="D1075" s="71"/>
      <c r="E1075" s="71"/>
      <c r="F1075" s="71"/>
      <c r="G1075" s="71">
        <v>0</v>
      </c>
      <c r="H1075" s="71">
        <v>76073.849545454548</v>
      </c>
      <c r="I1075" s="72"/>
    </row>
    <row r="1076" spans="1:9" x14ac:dyDescent="0.2">
      <c r="A1076" s="75"/>
      <c r="B1076" s="71"/>
      <c r="C1076" s="71"/>
      <c r="D1076" s="71"/>
      <c r="E1076" s="71"/>
      <c r="F1076" s="71"/>
      <c r="G1076" s="71">
        <v>0</v>
      </c>
      <c r="H1076" s="71">
        <v>76073.849545454548</v>
      </c>
      <c r="I1076" s="72"/>
    </row>
    <row r="1077" spans="1:9" x14ac:dyDescent="0.2">
      <c r="A1077" s="75"/>
      <c r="B1077" s="71"/>
      <c r="C1077" s="71"/>
      <c r="D1077" s="71"/>
      <c r="E1077" s="71"/>
      <c r="F1077" s="71"/>
      <c r="G1077" s="71">
        <v>0</v>
      </c>
      <c r="H1077" s="71">
        <v>76073.849545454548</v>
      </c>
      <c r="I1077" s="72"/>
    </row>
    <row r="1078" spans="1:9" x14ac:dyDescent="0.2">
      <c r="A1078" s="75"/>
      <c r="B1078" s="71"/>
      <c r="C1078" s="71"/>
      <c r="D1078" s="71"/>
      <c r="E1078" s="71"/>
      <c r="F1078" s="71"/>
      <c r="G1078" s="71">
        <v>0</v>
      </c>
      <c r="H1078" s="71">
        <v>76073.849545454548</v>
      </c>
      <c r="I1078" s="72"/>
    </row>
    <row r="1079" spans="1:9" x14ac:dyDescent="0.2">
      <c r="A1079" s="75"/>
      <c r="B1079" s="71"/>
      <c r="C1079" s="71"/>
      <c r="D1079" s="71"/>
      <c r="E1079" s="71"/>
      <c r="F1079" s="71"/>
      <c r="G1079" s="71">
        <v>0</v>
      </c>
      <c r="H1079" s="71">
        <v>76073.849545454548</v>
      </c>
      <c r="I1079" s="72"/>
    </row>
    <row r="1080" spans="1:9" x14ac:dyDescent="0.2">
      <c r="A1080" s="75"/>
      <c r="B1080" s="71"/>
      <c r="C1080" s="71"/>
      <c r="D1080" s="71"/>
      <c r="E1080" s="71"/>
      <c r="F1080" s="71"/>
      <c r="G1080" s="71">
        <v>0</v>
      </c>
      <c r="H1080" s="71">
        <v>76073.849545454548</v>
      </c>
      <c r="I1080" s="72"/>
    </row>
    <row r="1081" spans="1:9" x14ac:dyDescent="0.2">
      <c r="A1081" s="75"/>
      <c r="B1081" s="71"/>
      <c r="C1081" s="71"/>
      <c r="D1081" s="71"/>
      <c r="E1081" s="71"/>
      <c r="F1081" s="71"/>
      <c r="G1081" s="71">
        <v>0</v>
      </c>
      <c r="H1081" s="71">
        <v>76073.849545454548</v>
      </c>
      <c r="I1081" s="72"/>
    </row>
    <row r="1082" spans="1:9" x14ac:dyDescent="0.2">
      <c r="A1082" s="75"/>
      <c r="B1082" s="71"/>
      <c r="C1082" s="71"/>
      <c r="D1082" s="71"/>
      <c r="E1082" s="71"/>
      <c r="F1082" s="71"/>
      <c r="G1082" s="71">
        <v>0</v>
      </c>
      <c r="H1082" s="71">
        <v>76073.849545454548</v>
      </c>
      <c r="I1082" s="72"/>
    </row>
    <row r="1083" spans="1:9" x14ac:dyDescent="0.2">
      <c r="A1083" s="75"/>
      <c r="B1083" s="71"/>
      <c r="C1083" s="71"/>
      <c r="D1083" s="71"/>
      <c r="E1083" s="71"/>
      <c r="F1083" s="71"/>
      <c r="G1083" s="71">
        <v>0</v>
      </c>
      <c r="H1083" s="71">
        <v>76073.849545454548</v>
      </c>
      <c r="I1083" s="72"/>
    </row>
    <row r="1084" spans="1:9" x14ac:dyDescent="0.2">
      <c r="A1084" s="75"/>
      <c r="B1084" s="71"/>
      <c r="C1084" s="71"/>
      <c r="D1084" s="71"/>
      <c r="E1084" s="71"/>
      <c r="F1084" s="71"/>
      <c r="G1084" s="71">
        <v>0</v>
      </c>
      <c r="H1084" s="71">
        <v>76073.849545454548</v>
      </c>
      <c r="I1084" s="72"/>
    </row>
    <row r="1085" spans="1:9" x14ac:dyDescent="0.2">
      <c r="A1085" s="75"/>
      <c r="B1085" s="71"/>
      <c r="C1085" s="71"/>
      <c r="D1085" s="71"/>
      <c r="E1085" s="71"/>
      <c r="F1085" s="71"/>
      <c r="G1085" s="71">
        <v>0</v>
      </c>
      <c r="H1085" s="71">
        <v>76073.849545454548</v>
      </c>
      <c r="I1085" s="72"/>
    </row>
    <row r="1086" spans="1:9" x14ac:dyDescent="0.2">
      <c r="A1086" s="75">
        <v>2</v>
      </c>
      <c r="B1086" s="71" t="s">
        <v>842</v>
      </c>
      <c r="C1086" s="71">
        <v>24291</v>
      </c>
      <c r="D1086" s="71" t="s">
        <v>950</v>
      </c>
      <c r="E1086" s="71" t="s">
        <v>662</v>
      </c>
      <c r="F1086" s="71">
        <v>0.625</v>
      </c>
      <c r="G1086" s="71">
        <v>62175.742613636365</v>
      </c>
      <c r="H1086" s="71">
        <v>99481.188181818186</v>
      </c>
      <c r="I1086" s="72">
        <v>483105.52010795457</v>
      </c>
    </row>
    <row r="1087" spans="1:9" x14ac:dyDescent="0.2">
      <c r="A1087" s="75"/>
      <c r="B1087" s="71"/>
      <c r="C1087" s="71"/>
      <c r="D1087" s="71" t="s">
        <v>942</v>
      </c>
      <c r="E1087" s="71" t="s">
        <v>662</v>
      </c>
      <c r="F1087" s="71">
        <v>0.375</v>
      </c>
      <c r="G1087" s="71">
        <v>37305.445568181822</v>
      </c>
      <c r="H1087" s="71">
        <v>99481.188181818186</v>
      </c>
      <c r="I1087" s="72"/>
    </row>
    <row r="1088" spans="1:9" x14ac:dyDescent="0.2">
      <c r="A1088" s="75"/>
      <c r="B1088" s="71"/>
      <c r="C1088" s="71"/>
      <c r="D1088" s="71" t="s">
        <v>956</v>
      </c>
      <c r="E1088" s="71" t="s">
        <v>662</v>
      </c>
      <c r="F1088" s="71">
        <v>0.54249999999999998</v>
      </c>
      <c r="G1088" s="71">
        <v>53968.544588636367</v>
      </c>
      <c r="H1088" s="71">
        <v>99481.188181818186</v>
      </c>
      <c r="I1088" s="72"/>
    </row>
    <row r="1089" spans="1:9" x14ac:dyDescent="0.2">
      <c r="A1089" s="75"/>
      <c r="B1089" s="71"/>
      <c r="C1089" s="71"/>
      <c r="D1089" s="71" t="s">
        <v>958</v>
      </c>
      <c r="E1089" s="71" t="s">
        <v>662</v>
      </c>
      <c r="F1089" s="71">
        <v>0.6887500000000002</v>
      </c>
      <c r="G1089" s="71">
        <v>68517.668360227297</v>
      </c>
      <c r="H1089" s="71">
        <v>99481.188181818186</v>
      </c>
      <c r="I1089" s="72"/>
    </row>
    <row r="1090" spans="1:9" x14ac:dyDescent="0.2">
      <c r="A1090" s="75"/>
      <c r="B1090" s="71"/>
      <c r="C1090" s="71"/>
      <c r="D1090" s="71" t="s">
        <v>902</v>
      </c>
      <c r="E1090" s="71" t="s">
        <v>657</v>
      </c>
      <c r="F1090" s="71">
        <v>1</v>
      </c>
      <c r="G1090" s="71">
        <v>99481.188181818186</v>
      </c>
      <c r="H1090" s="71">
        <v>99481.188181818186</v>
      </c>
      <c r="I1090" s="72"/>
    </row>
    <row r="1091" spans="1:9" x14ac:dyDescent="0.2">
      <c r="A1091" s="75"/>
      <c r="B1091" s="71"/>
      <c r="C1091" s="71"/>
      <c r="D1091" s="71" t="s">
        <v>897</v>
      </c>
      <c r="E1091" s="71" t="s">
        <v>657</v>
      </c>
      <c r="F1091" s="71">
        <v>1</v>
      </c>
      <c r="G1091" s="71">
        <v>99481.188181818186</v>
      </c>
      <c r="H1091" s="71">
        <v>99481.188181818186</v>
      </c>
      <c r="I1091" s="72"/>
    </row>
    <row r="1092" spans="1:9" x14ac:dyDescent="0.2">
      <c r="A1092" s="75"/>
      <c r="B1092" s="71"/>
      <c r="C1092" s="71"/>
      <c r="D1092" s="71" t="s">
        <v>898</v>
      </c>
      <c r="E1092" s="71" t="s">
        <v>662</v>
      </c>
      <c r="F1092" s="71">
        <v>0.625</v>
      </c>
      <c r="G1092" s="71">
        <v>62175.742613636365</v>
      </c>
      <c r="H1092" s="71">
        <v>99481.188181818186</v>
      </c>
      <c r="I1092" s="72"/>
    </row>
    <row r="1093" spans="1:9" x14ac:dyDescent="0.2">
      <c r="A1093" s="75">
        <v>3</v>
      </c>
      <c r="B1093" s="71" t="s">
        <v>327</v>
      </c>
      <c r="C1093" s="71">
        <v>24207</v>
      </c>
      <c r="D1093" s="71" t="s">
        <v>900</v>
      </c>
      <c r="E1093" s="71" t="s">
        <v>662</v>
      </c>
      <c r="F1093" s="71">
        <v>0.55624999999999991</v>
      </c>
      <c r="G1093" s="71">
        <v>42316.078809659084</v>
      </c>
      <c r="H1093" s="71">
        <v>76073.849545454548</v>
      </c>
      <c r="I1093" s="72">
        <v>101843.86607897724</v>
      </c>
    </row>
    <row r="1094" spans="1:9" x14ac:dyDescent="0.2">
      <c r="A1094" s="75"/>
      <c r="B1094" s="71"/>
      <c r="C1094" s="71"/>
      <c r="D1094" s="71" t="s">
        <v>956</v>
      </c>
      <c r="E1094" s="71" t="s">
        <v>662</v>
      </c>
      <c r="F1094" s="71">
        <v>0.27499999999999991</v>
      </c>
      <c r="G1094" s="71">
        <v>20920.308624999994</v>
      </c>
      <c r="H1094" s="71">
        <v>76073.849545454548</v>
      </c>
      <c r="I1094" s="72"/>
    </row>
    <row r="1095" spans="1:9" x14ac:dyDescent="0.2">
      <c r="A1095" s="75"/>
      <c r="B1095" s="71"/>
      <c r="C1095" s="71"/>
      <c r="D1095" s="71" t="s">
        <v>958</v>
      </c>
      <c r="E1095" s="71" t="s">
        <v>662</v>
      </c>
      <c r="F1095" s="71">
        <v>0.50749999999999984</v>
      </c>
      <c r="G1095" s="71">
        <v>38607.478644318173</v>
      </c>
      <c r="H1095" s="71">
        <v>76073.849545454548</v>
      </c>
      <c r="I1095" s="72"/>
    </row>
    <row r="1096" spans="1:9" x14ac:dyDescent="0.2">
      <c r="A1096" s="75"/>
      <c r="B1096" s="71"/>
      <c r="C1096" s="71"/>
      <c r="D1096" s="71"/>
      <c r="E1096" s="71"/>
      <c r="F1096" s="71"/>
      <c r="G1096" s="71">
        <v>0</v>
      </c>
      <c r="H1096" s="71">
        <v>76073.849545454548</v>
      </c>
      <c r="I1096" s="72"/>
    </row>
    <row r="1097" spans="1:9" x14ac:dyDescent="0.2">
      <c r="A1097" s="75"/>
      <c r="B1097" s="71"/>
      <c r="C1097" s="71"/>
      <c r="D1097" s="71"/>
      <c r="E1097" s="71"/>
      <c r="F1097" s="71"/>
      <c r="G1097" s="71">
        <v>0</v>
      </c>
      <c r="H1097" s="71">
        <v>76073.849545454548</v>
      </c>
      <c r="I1097" s="72"/>
    </row>
    <row r="1098" spans="1:9" x14ac:dyDescent="0.2">
      <c r="A1098" s="75"/>
      <c r="B1098" s="71"/>
      <c r="C1098" s="71"/>
      <c r="D1098" s="71"/>
      <c r="E1098" s="71"/>
      <c r="F1098" s="71"/>
      <c r="G1098" s="71"/>
      <c r="H1098" s="71">
        <v>76073.849545454548</v>
      </c>
      <c r="I1098" s="72"/>
    </row>
    <row r="1099" spans="1:9" x14ac:dyDescent="0.2">
      <c r="A1099" s="75"/>
      <c r="B1099" s="71"/>
      <c r="C1099" s="71"/>
      <c r="D1099" s="71"/>
      <c r="E1099" s="71"/>
      <c r="F1099" s="71"/>
      <c r="G1099" s="71"/>
      <c r="H1099" s="71">
        <v>76073.849545454548</v>
      </c>
      <c r="I1099" s="72"/>
    </row>
    <row r="1100" spans="1:9" x14ac:dyDescent="0.2">
      <c r="A1100" s="75"/>
      <c r="B1100" s="71"/>
      <c r="C1100" s="71"/>
      <c r="D1100" s="71"/>
      <c r="E1100" s="71"/>
      <c r="F1100" s="71"/>
      <c r="G1100" s="71"/>
      <c r="H1100" s="71"/>
      <c r="I1100" s="72"/>
    </row>
    <row r="1101" spans="1:9" x14ac:dyDescent="0.2">
      <c r="A1101" s="75"/>
      <c r="B1101" s="71"/>
      <c r="C1101" s="71"/>
      <c r="D1101" s="71"/>
      <c r="E1101" s="71"/>
      <c r="F1101" s="71"/>
      <c r="G1101" s="71"/>
      <c r="H1101" s="71"/>
      <c r="I1101" s="72"/>
    </row>
    <row r="1102" spans="1:9" x14ac:dyDescent="0.2">
      <c r="A1102" s="75"/>
      <c r="B1102" s="71"/>
      <c r="C1102" s="71"/>
      <c r="D1102" s="71"/>
      <c r="E1102" s="71"/>
      <c r="F1102" s="71"/>
      <c r="G1102" s="71"/>
      <c r="H1102" s="71"/>
      <c r="I1102" s="72"/>
    </row>
    <row r="1103" spans="1:9" x14ac:dyDescent="0.2">
      <c r="A1103" s="75"/>
      <c r="B1103" s="71"/>
      <c r="C1103" s="71"/>
      <c r="D1103" s="71"/>
      <c r="E1103" s="71"/>
      <c r="F1103" s="71"/>
      <c r="G1103" s="71"/>
      <c r="H1103" s="71"/>
      <c r="I1103" s="72"/>
    </row>
    <row r="1104" spans="1:9" x14ac:dyDescent="0.2">
      <c r="A1104" s="75"/>
      <c r="B1104" s="71"/>
      <c r="C1104" s="71"/>
      <c r="D1104" s="71"/>
      <c r="E1104" s="71"/>
      <c r="F1104" s="71"/>
      <c r="G1104" s="71"/>
      <c r="H1104" s="71"/>
      <c r="I1104" s="72"/>
    </row>
    <row r="1105" spans="1:9" x14ac:dyDescent="0.2">
      <c r="A1105" s="75"/>
      <c r="B1105" s="71"/>
      <c r="C1105" s="71"/>
      <c r="D1105" s="71"/>
      <c r="E1105" s="71"/>
      <c r="F1105" s="71"/>
      <c r="G1105" s="71"/>
      <c r="H1105" s="71"/>
      <c r="I1105" s="72"/>
    </row>
    <row r="1106" spans="1:9" x14ac:dyDescent="0.2">
      <c r="A1106" s="75"/>
      <c r="B1106" s="71"/>
      <c r="C1106" s="71"/>
      <c r="D1106" s="71"/>
      <c r="E1106" s="71"/>
      <c r="F1106" s="71"/>
      <c r="G1106" s="71"/>
      <c r="H1106" s="71"/>
      <c r="I1106" s="72"/>
    </row>
    <row r="1107" spans="1:9" x14ac:dyDescent="0.2">
      <c r="A1107" s="75"/>
      <c r="B1107" s="71"/>
      <c r="C1107" s="71"/>
      <c r="D1107" s="71"/>
      <c r="E1107" s="71"/>
      <c r="F1107" s="71"/>
      <c r="G1107" s="71"/>
      <c r="H1107" s="71"/>
      <c r="I1107" s="72"/>
    </row>
    <row r="1108" spans="1:9" x14ac:dyDescent="0.2">
      <c r="A1108" s="75"/>
      <c r="B1108" s="71"/>
      <c r="C1108" s="71"/>
      <c r="D1108" s="71"/>
      <c r="E1108" s="71"/>
      <c r="F1108" s="71"/>
      <c r="G1108" s="71"/>
      <c r="H1108" s="71"/>
      <c r="I1108" s="72"/>
    </row>
    <row r="1109" spans="1:9" x14ac:dyDescent="0.2">
      <c r="A1109" s="75"/>
      <c r="B1109" s="71"/>
      <c r="C1109" s="71"/>
      <c r="D1109" s="71"/>
      <c r="E1109" s="71"/>
      <c r="F1109" s="71"/>
      <c r="G1109" s="71"/>
      <c r="H1109" s="71"/>
      <c r="I1109" s="72"/>
    </row>
    <row r="1110" spans="1:9" x14ac:dyDescent="0.2">
      <c r="A1110" s="75"/>
      <c r="B1110" s="71"/>
      <c r="C1110" s="71"/>
      <c r="D1110" s="71"/>
      <c r="E1110" s="71"/>
      <c r="F1110" s="71"/>
      <c r="G1110" s="71"/>
      <c r="H1110" s="71"/>
      <c r="I1110" s="72"/>
    </row>
    <row r="1111" spans="1:9" x14ac:dyDescent="0.2">
      <c r="A1111" s="75"/>
      <c r="B1111" s="71"/>
      <c r="C1111" s="71"/>
      <c r="D1111" s="71"/>
      <c r="E1111" s="71"/>
      <c r="F1111" s="71"/>
      <c r="G1111" s="71"/>
      <c r="H1111" s="71"/>
      <c r="I1111" s="72"/>
    </row>
    <row r="1112" spans="1:9" x14ac:dyDescent="0.2">
      <c r="A1112" s="75"/>
      <c r="B1112" s="71"/>
      <c r="C1112" s="71"/>
      <c r="D1112" s="71"/>
      <c r="E1112" s="71"/>
      <c r="F1112" s="71"/>
      <c r="G1112" s="71"/>
      <c r="H1112" s="71"/>
      <c r="I1112" s="72"/>
    </row>
    <row r="1113" spans="1:9" x14ac:dyDescent="0.2">
      <c r="A1113" s="75"/>
      <c r="B1113" s="71"/>
      <c r="C1113" s="71"/>
      <c r="D1113" s="71"/>
      <c r="E1113" s="71"/>
      <c r="F1113" s="71"/>
      <c r="G1113" s="71"/>
      <c r="H1113" s="71"/>
      <c r="I1113" s="72"/>
    </row>
    <row r="1114" spans="1:9" x14ac:dyDescent="0.2">
      <c r="A1114" s="75"/>
      <c r="B1114" s="71"/>
      <c r="C1114" s="71"/>
      <c r="D1114" s="71"/>
      <c r="E1114" s="71"/>
      <c r="F1114" s="71"/>
      <c r="G1114" s="71"/>
      <c r="H1114" s="71"/>
      <c r="I1114" s="72"/>
    </row>
    <row r="1115" spans="1:9" x14ac:dyDescent="0.2">
      <c r="A1115" s="75"/>
      <c r="B1115" s="71"/>
      <c r="C1115" s="71"/>
      <c r="D1115" s="71"/>
      <c r="E1115" s="71"/>
      <c r="F1115" s="71"/>
      <c r="G1115" s="71"/>
      <c r="H1115" s="71"/>
      <c r="I1115" s="72"/>
    </row>
    <row r="1116" spans="1:9" x14ac:dyDescent="0.2">
      <c r="A1116" s="75"/>
      <c r="B1116" s="71"/>
      <c r="C1116" s="71"/>
      <c r="D1116" s="71"/>
      <c r="E1116" s="71"/>
      <c r="F1116" s="71"/>
      <c r="G1116" s="71"/>
      <c r="H1116" s="71"/>
      <c r="I1116" s="72"/>
    </row>
    <row r="1117" spans="1:9" x14ac:dyDescent="0.2">
      <c r="A1117" s="75"/>
      <c r="B1117" s="71"/>
      <c r="C1117" s="71"/>
      <c r="D1117" s="71"/>
      <c r="E1117" s="71"/>
      <c r="F1117" s="71"/>
      <c r="G1117" s="71"/>
      <c r="H1117" s="71"/>
      <c r="I1117" s="72"/>
    </row>
    <row r="1118" spans="1:9" x14ac:dyDescent="0.2">
      <c r="A1118" s="75"/>
      <c r="B1118" s="71"/>
      <c r="C1118" s="71"/>
      <c r="D1118" s="71"/>
      <c r="E1118" s="71"/>
      <c r="F1118" s="71"/>
      <c r="G1118" s="71"/>
      <c r="H1118" s="71"/>
      <c r="I1118" s="72"/>
    </row>
    <row r="1119" spans="1:9" x14ac:dyDescent="0.2">
      <c r="A1119" s="75"/>
      <c r="B1119" s="71"/>
      <c r="C1119" s="71"/>
      <c r="D1119" s="71"/>
      <c r="E1119" s="71"/>
      <c r="F1119" s="71"/>
      <c r="G1119" s="71"/>
      <c r="H1119" s="71"/>
      <c r="I1119" s="72"/>
    </row>
    <row r="1120" spans="1:9" x14ac:dyDescent="0.2">
      <c r="A1120" s="75"/>
      <c r="B1120" s="71"/>
      <c r="C1120" s="71"/>
      <c r="D1120" s="71"/>
      <c r="E1120" s="71"/>
      <c r="F1120" s="71"/>
      <c r="G1120" s="71"/>
      <c r="H1120" s="71"/>
      <c r="I1120" s="72"/>
    </row>
    <row r="1121" spans="1:9" x14ac:dyDescent="0.2">
      <c r="A1121" s="75"/>
      <c r="B1121" s="71"/>
      <c r="C1121" s="71"/>
      <c r="D1121" s="71"/>
      <c r="E1121" s="71"/>
      <c r="F1121" s="71"/>
      <c r="G1121" s="71"/>
      <c r="H1121" s="71"/>
      <c r="I1121" s="72"/>
    </row>
    <row r="1122" spans="1:9" x14ac:dyDescent="0.2">
      <c r="A1122" s="75"/>
      <c r="B1122" s="71"/>
      <c r="C1122" s="71"/>
      <c r="D1122" s="71"/>
      <c r="E1122" s="71"/>
      <c r="F1122" s="71"/>
      <c r="G1122" s="71"/>
      <c r="H1122" s="71"/>
      <c r="I1122" s="72"/>
    </row>
    <row r="1123" spans="1:9" x14ac:dyDescent="0.2">
      <c r="A1123" s="75"/>
      <c r="B1123" s="71"/>
      <c r="C1123" s="71"/>
      <c r="D1123" s="71"/>
      <c r="E1123" s="71"/>
      <c r="F1123" s="71"/>
      <c r="G1123" s="71"/>
      <c r="H1123" s="71"/>
      <c r="I1123" s="72"/>
    </row>
    <row r="1124" spans="1:9" x14ac:dyDescent="0.2">
      <c r="A1124" s="75"/>
      <c r="B1124" s="71"/>
      <c r="C1124" s="71"/>
      <c r="D1124" s="71"/>
      <c r="E1124" s="71"/>
      <c r="F1124" s="71"/>
      <c r="G1124" s="71"/>
      <c r="H1124" s="71"/>
      <c r="I1124" s="72"/>
    </row>
    <row r="1125" spans="1:9" x14ac:dyDescent="0.2">
      <c r="A1125" s="75"/>
      <c r="B1125" s="71"/>
      <c r="C1125" s="71"/>
      <c r="D1125" s="71"/>
      <c r="E1125" s="71"/>
      <c r="F1125" s="71"/>
      <c r="G1125" s="71"/>
      <c r="H1125" s="71"/>
      <c r="I1125" s="72"/>
    </row>
    <row r="1126" spans="1:9" x14ac:dyDescent="0.2">
      <c r="A1126" s="75"/>
      <c r="B1126" s="71"/>
      <c r="C1126" s="71"/>
      <c r="D1126" s="71"/>
      <c r="E1126" s="71"/>
      <c r="F1126" s="71"/>
      <c r="G1126" s="71"/>
      <c r="H1126" s="71"/>
      <c r="I1126" s="72"/>
    </row>
    <row r="1127" spans="1:9" x14ac:dyDescent="0.2">
      <c r="A1127" s="75"/>
      <c r="B1127" s="71"/>
      <c r="C1127" s="71"/>
      <c r="D1127" s="71"/>
      <c r="E1127" s="71"/>
      <c r="F1127" s="71"/>
      <c r="G1127" s="71"/>
      <c r="H1127" s="71"/>
      <c r="I1127" s="72"/>
    </row>
    <row r="1128" spans="1:9" x14ac:dyDescent="0.2">
      <c r="A1128" s="75"/>
      <c r="B1128" s="71"/>
      <c r="C1128" s="71"/>
      <c r="D1128" s="71"/>
      <c r="E1128" s="71"/>
      <c r="F1128" s="71"/>
      <c r="G1128" s="71"/>
      <c r="H1128" s="71"/>
      <c r="I1128" s="72"/>
    </row>
    <row r="1129" spans="1:9" x14ac:dyDescent="0.2">
      <c r="A1129" s="75"/>
      <c r="B1129" s="71"/>
      <c r="C1129" s="71"/>
      <c r="D1129" s="71"/>
      <c r="E1129" s="71"/>
      <c r="F1129" s="71"/>
      <c r="G1129" s="71"/>
      <c r="H1129" s="71"/>
      <c r="I1129" s="72"/>
    </row>
    <row r="1130" spans="1:9" x14ac:dyDescent="0.2">
      <c r="A1130" s="75"/>
      <c r="B1130" s="71"/>
      <c r="C1130" s="71"/>
      <c r="D1130" s="71"/>
      <c r="E1130" s="71"/>
      <c r="F1130" s="71"/>
      <c r="G1130" s="71"/>
      <c r="H1130" s="71"/>
      <c r="I1130" s="72"/>
    </row>
    <row r="1131" spans="1:9" x14ac:dyDescent="0.2">
      <c r="A1131" s="75"/>
      <c r="B1131" s="71"/>
      <c r="C1131" s="71"/>
      <c r="D1131" s="71"/>
      <c r="E1131" s="71"/>
      <c r="F1131" s="71"/>
      <c r="G1131" s="71"/>
      <c r="H1131" s="71"/>
      <c r="I1131" s="72"/>
    </row>
    <row r="1132" spans="1:9" x14ac:dyDescent="0.2">
      <c r="A1132" s="75"/>
      <c r="B1132" s="71"/>
      <c r="C1132" s="71"/>
      <c r="D1132" s="71"/>
      <c r="E1132" s="71"/>
      <c r="F1132" s="71"/>
      <c r="G1132" s="71"/>
      <c r="H1132" s="71"/>
      <c r="I1132" s="72"/>
    </row>
    <row r="1133" spans="1:9" x14ac:dyDescent="0.2">
      <c r="A1133" s="75"/>
      <c r="B1133" s="71"/>
      <c r="C1133" s="71"/>
      <c r="D1133" s="71"/>
      <c r="E1133" s="71"/>
      <c r="F1133" s="71"/>
      <c r="G1133" s="71"/>
      <c r="H1133" s="71"/>
      <c r="I1133" s="72"/>
    </row>
    <row r="1134" spans="1:9" x14ac:dyDescent="0.2">
      <c r="A1134" s="75"/>
      <c r="B1134" s="71"/>
      <c r="C1134" s="71"/>
      <c r="D1134" s="71"/>
      <c r="E1134" s="71"/>
      <c r="F1134" s="71"/>
      <c r="G1134" s="71"/>
      <c r="H1134" s="71"/>
      <c r="I1134" s="72"/>
    </row>
    <row r="1135" spans="1:9" x14ac:dyDescent="0.2">
      <c r="A1135" s="75"/>
      <c r="B1135" s="71"/>
      <c r="C1135" s="71"/>
      <c r="D1135" s="71"/>
      <c r="E1135" s="71"/>
      <c r="F1135" s="71"/>
      <c r="G1135" s="71"/>
      <c r="H1135" s="71"/>
      <c r="I1135" s="72"/>
    </row>
    <row r="1136" spans="1:9" x14ac:dyDescent="0.2">
      <c r="A1136" s="75"/>
      <c r="B1136" s="71"/>
      <c r="C1136" s="71"/>
      <c r="D1136" s="71"/>
      <c r="E1136" s="71"/>
      <c r="F1136" s="71"/>
      <c r="G1136" s="71"/>
      <c r="H1136" s="71"/>
      <c r="I1136" s="72"/>
    </row>
    <row r="1137" spans="1:9" x14ac:dyDescent="0.2">
      <c r="A1137" s="75"/>
      <c r="B1137" s="71"/>
      <c r="C1137" s="71"/>
      <c r="D1137" s="71"/>
      <c r="E1137" s="71"/>
      <c r="F1137" s="71"/>
      <c r="G1137" s="71"/>
      <c r="H1137" s="71"/>
      <c r="I1137" s="72"/>
    </row>
    <row r="1138" spans="1:9" x14ac:dyDescent="0.2">
      <c r="A1138" s="75"/>
      <c r="B1138" s="71"/>
      <c r="C1138" s="71"/>
      <c r="D1138" s="71"/>
      <c r="E1138" s="71"/>
      <c r="F1138" s="71"/>
      <c r="G1138" s="71"/>
      <c r="H1138" s="71"/>
      <c r="I1138" s="72"/>
    </row>
    <row r="1139" spans="1:9" x14ac:dyDescent="0.2">
      <c r="A1139" s="75"/>
      <c r="B1139" s="71"/>
      <c r="C1139" s="71"/>
      <c r="D1139" s="71"/>
      <c r="E1139" s="71"/>
      <c r="F1139" s="71"/>
      <c r="G1139" s="71"/>
      <c r="H1139" s="71"/>
      <c r="I1139" s="72"/>
    </row>
    <row r="1140" spans="1:9" x14ac:dyDescent="0.2">
      <c r="A1140" s="75"/>
      <c r="B1140" s="71"/>
      <c r="C1140" s="71"/>
      <c r="D1140" s="71"/>
      <c r="E1140" s="71"/>
      <c r="F1140" s="71"/>
      <c r="G1140" s="71"/>
      <c r="H1140" s="71"/>
      <c r="I1140" s="72"/>
    </row>
    <row r="1141" spans="1:9" x14ac:dyDescent="0.2">
      <c r="A1141" s="75"/>
      <c r="B1141" s="71"/>
      <c r="C1141" s="71"/>
      <c r="D1141" s="71"/>
      <c r="E1141" s="71"/>
      <c r="F1141" s="71"/>
      <c r="G1141" s="71"/>
      <c r="H1141" s="71"/>
      <c r="I1141" s="72"/>
    </row>
    <row r="1142" spans="1:9" x14ac:dyDescent="0.2">
      <c r="A1142" s="75"/>
      <c r="B1142" s="71"/>
      <c r="C1142" s="71"/>
      <c r="D1142" s="71"/>
      <c r="E1142" s="71"/>
      <c r="F1142" s="71"/>
      <c r="G1142" s="71"/>
      <c r="H1142" s="71"/>
      <c r="I1142" s="72"/>
    </row>
    <row r="1143" spans="1:9" x14ac:dyDescent="0.2">
      <c r="A1143" s="75"/>
      <c r="B1143" s="71"/>
      <c r="C1143" s="71"/>
      <c r="D1143" s="71"/>
      <c r="E1143" s="71"/>
      <c r="F1143" s="71"/>
      <c r="G1143" s="71"/>
      <c r="H1143" s="71"/>
      <c r="I1143" s="72"/>
    </row>
    <row r="1144" spans="1:9" x14ac:dyDescent="0.2">
      <c r="A1144" s="75"/>
      <c r="B1144" s="71"/>
      <c r="C1144" s="71"/>
      <c r="D1144" s="71"/>
      <c r="E1144" s="71"/>
      <c r="F1144" s="71"/>
      <c r="G1144" s="71"/>
      <c r="H1144" s="71"/>
      <c r="I1144" s="72"/>
    </row>
    <row r="1145" spans="1:9" x14ac:dyDescent="0.2">
      <c r="A1145" s="75"/>
      <c r="B1145" s="71"/>
      <c r="C1145" s="71"/>
      <c r="D1145" s="71"/>
      <c r="E1145" s="71"/>
      <c r="F1145" s="71"/>
      <c r="G1145" s="71"/>
      <c r="H1145" s="71"/>
      <c r="I1145" s="72"/>
    </row>
    <row r="1146" spans="1:9" x14ac:dyDescent="0.2">
      <c r="A1146" s="75"/>
      <c r="B1146" s="71"/>
      <c r="C1146" s="71"/>
      <c r="D1146" s="71"/>
      <c r="E1146" s="71"/>
      <c r="F1146" s="71"/>
      <c r="G1146" s="71"/>
      <c r="H1146" s="71"/>
      <c r="I1146" s="72"/>
    </row>
    <row r="1147" spans="1:9" x14ac:dyDescent="0.2">
      <c r="A1147" s="75"/>
      <c r="B1147" s="71"/>
      <c r="C1147" s="71"/>
      <c r="D1147" s="71"/>
      <c r="E1147" s="71"/>
      <c r="F1147" s="71"/>
      <c r="G1147" s="71"/>
      <c r="H1147" s="71"/>
      <c r="I1147" s="72"/>
    </row>
    <row r="1148" spans="1:9" x14ac:dyDescent="0.2">
      <c r="A1148" s="75"/>
      <c r="B1148" s="71"/>
      <c r="C1148" s="71"/>
      <c r="D1148" s="71"/>
      <c r="E1148" s="71"/>
      <c r="F1148" s="71"/>
      <c r="G1148" s="71"/>
      <c r="H1148" s="71"/>
      <c r="I1148" s="72"/>
    </row>
    <row r="1149" spans="1:9" x14ac:dyDescent="0.2">
      <c r="A1149" s="75"/>
      <c r="B1149" s="71"/>
      <c r="C1149" s="71"/>
      <c r="D1149" s="71"/>
      <c r="E1149" s="71"/>
      <c r="F1149" s="71"/>
      <c r="G1149" s="71"/>
      <c r="H1149" s="71"/>
      <c r="I1149" s="72"/>
    </row>
    <row r="1150" spans="1:9" x14ac:dyDescent="0.2">
      <c r="A1150" s="75"/>
      <c r="B1150" s="71"/>
      <c r="C1150" s="71"/>
      <c r="D1150" s="71"/>
      <c r="E1150" s="71"/>
      <c r="F1150" s="71"/>
      <c r="G1150" s="71"/>
      <c r="H1150" s="71"/>
      <c r="I1150" s="72"/>
    </row>
    <row r="1151" spans="1:9" x14ac:dyDescent="0.2">
      <c r="A1151" s="75"/>
      <c r="B1151" s="71"/>
      <c r="C1151" s="71"/>
      <c r="D1151" s="71"/>
      <c r="E1151" s="71"/>
      <c r="F1151" s="71"/>
      <c r="G1151" s="71"/>
      <c r="H1151" s="71"/>
      <c r="I1151" s="72"/>
    </row>
    <row r="1152" spans="1:9" x14ac:dyDescent="0.2">
      <c r="A1152" s="75"/>
      <c r="B1152" s="71"/>
      <c r="C1152" s="71"/>
      <c r="D1152" s="71"/>
      <c r="E1152" s="71"/>
      <c r="F1152" s="71"/>
      <c r="G1152" s="71"/>
      <c r="H1152" s="71"/>
      <c r="I1152" s="72"/>
    </row>
    <row r="1153" spans="1:9" x14ac:dyDescent="0.2">
      <c r="A1153" s="75"/>
      <c r="B1153" s="71"/>
      <c r="C1153" s="71"/>
      <c r="D1153" s="71"/>
      <c r="E1153" s="71"/>
      <c r="F1153" s="71"/>
      <c r="G1153" s="71"/>
      <c r="H1153" s="71"/>
      <c r="I1153" s="72"/>
    </row>
    <row r="1154" spans="1:9" x14ac:dyDescent="0.2">
      <c r="A1154" s="75"/>
      <c r="B1154" s="71"/>
      <c r="C1154" s="71"/>
      <c r="D1154" s="71"/>
      <c r="E1154" s="71"/>
      <c r="F1154" s="71"/>
      <c r="G1154" s="71"/>
      <c r="H1154" s="71"/>
      <c r="I1154" s="72"/>
    </row>
    <row r="1155" spans="1:9" x14ac:dyDescent="0.2">
      <c r="A1155" s="75"/>
      <c r="B1155" s="71"/>
      <c r="C1155" s="71"/>
      <c r="D1155" s="71"/>
      <c r="E1155" s="71"/>
      <c r="F1155" s="71"/>
      <c r="G1155" s="71"/>
      <c r="H1155" s="71"/>
      <c r="I1155" s="72"/>
    </row>
    <row r="1156" spans="1:9" x14ac:dyDescent="0.2">
      <c r="A1156" s="75"/>
      <c r="B1156" s="71"/>
      <c r="C1156" s="71"/>
      <c r="D1156" s="71"/>
      <c r="E1156" s="71"/>
      <c r="F1156" s="71"/>
      <c r="G1156" s="71"/>
      <c r="H1156" s="71"/>
      <c r="I1156" s="72"/>
    </row>
    <row r="1157" spans="1:9" x14ac:dyDescent="0.2">
      <c r="A1157" s="75"/>
      <c r="B1157" s="71"/>
      <c r="C1157" s="71"/>
      <c r="D1157" s="71"/>
      <c r="E1157" s="71"/>
      <c r="F1157" s="71"/>
      <c r="G1157" s="71"/>
      <c r="H1157" s="71"/>
      <c r="I1157" s="72"/>
    </row>
    <row r="1158" spans="1:9" x14ac:dyDescent="0.2">
      <c r="A1158" s="75"/>
      <c r="B1158" s="71"/>
      <c r="C1158" s="71"/>
      <c r="D1158" s="71"/>
      <c r="E1158" s="71"/>
      <c r="F1158" s="71"/>
      <c r="G1158" s="71"/>
      <c r="H1158" s="71"/>
      <c r="I1158" s="72"/>
    </row>
    <row r="1159" spans="1:9" x14ac:dyDescent="0.2">
      <c r="A1159" s="75"/>
      <c r="B1159" s="71"/>
      <c r="C1159" s="71"/>
      <c r="D1159" s="71"/>
      <c r="E1159" s="71"/>
      <c r="F1159" s="71"/>
      <c r="G1159" s="71"/>
      <c r="H1159" s="71"/>
      <c r="I1159" s="72"/>
    </row>
    <row r="1160" spans="1:9" x14ac:dyDescent="0.2">
      <c r="A1160" s="75"/>
      <c r="B1160" s="71"/>
      <c r="C1160" s="71"/>
      <c r="D1160" s="71"/>
      <c r="E1160" s="71"/>
      <c r="F1160" s="71"/>
      <c r="G1160" s="71"/>
      <c r="H1160" s="71"/>
      <c r="I1160" s="72"/>
    </row>
    <row r="1161" spans="1:9" x14ac:dyDescent="0.2">
      <c r="A1161" s="75"/>
      <c r="B1161" s="71"/>
      <c r="C1161" s="71"/>
      <c r="D1161" s="71"/>
      <c r="E1161" s="71"/>
      <c r="F1161" s="71"/>
      <c r="G1161" s="71"/>
      <c r="H1161" s="71"/>
      <c r="I1161" s="72"/>
    </row>
    <row r="1162" spans="1:9" x14ac:dyDescent="0.2">
      <c r="A1162" s="75"/>
      <c r="B1162" s="71"/>
      <c r="C1162" s="71"/>
      <c r="D1162" s="71"/>
      <c r="E1162" s="71"/>
      <c r="F1162" s="71"/>
      <c r="G1162" s="71"/>
      <c r="H1162" s="71"/>
      <c r="I1162" s="72"/>
    </row>
    <row r="1163" spans="1:9" x14ac:dyDescent="0.2">
      <c r="A1163" s="75"/>
      <c r="B1163" s="71"/>
      <c r="C1163" s="71"/>
      <c r="D1163" s="71"/>
      <c r="E1163" s="71"/>
      <c r="F1163" s="71"/>
      <c r="G1163" s="71"/>
      <c r="H1163" s="71"/>
      <c r="I1163" s="72"/>
    </row>
    <row r="1164" spans="1:9" x14ac:dyDescent="0.2">
      <c r="A1164" s="75"/>
      <c r="B1164" s="71"/>
      <c r="C1164" s="71"/>
      <c r="D1164" s="71"/>
      <c r="E1164" s="71"/>
      <c r="F1164" s="71"/>
      <c r="G1164" s="71"/>
      <c r="H1164" s="71"/>
      <c r="I1164" s="72"/>
    </row>
    <row r="1165" spans="1:9" x14ac:dyDescent="0.2">
      <c r="A1165" s="75"/>
      <c r="B1165" s="71"/>
      <c r="C1165" s="71"/>
      <c r="D1165" s="71"/>
      <c r="E1165" s="71"/>
      <c r="F1165" s="71"/>
      <c r="G1165" s="71"/>
      <c r="H1165" s="71"/>
      <c r="I1165" s="72"/>
    </row>
    <row r="1166" spans="1:9" x14ac:dyDescent="0.2">
      <c r="A1166" s="75"/>
      <c r="B1166" s="71"/>
      <c r="C1166" s="71"/>
      <c r="D1166" s="71"/>
      <c r="E1166" s="71"/>
      <c r="F1166" s="71"/>
      <c r="G1166" s="71"/>
      <c r="H1166" s="71"/>
      <c r="I1166" s="72"/>
    </row>
    <row r="1167" spans="1:9" x14ac:dyDescent="0.2">
      <c r="A1167" s="75"/>
      <c r="B1167" s="71"/>
      <c r="C1167" s="71"/>
      <c r="D1167" s="71"/>
      <c r="E1167" s="71"/>
      <c r="F1167" s="71"/>
      <c r="G1167" s="71"/>
      <c r="H1167" s="71"/>
      <c r="I1167" s="72"/>
    </row>
    <row r="1168" spans="1:9" x14ac:dyDescent="0.2">
      <c r="A1168" s="75"/>
      <c r="B1168" s="71"/>
      <c r="C1168" s="71"/>
      <c r="D1168" s="71"/>
      <c r="E1168" s="71"/>
      <c r="F1168" s="71"/>
      <c r="G1168" s="71"/>
      <c r="H1168" s="71"/>
      <c r="I1168" s="72"/>
    </row>
    <row r="1169" spans="1:9" x14ac:dyDescent="0.2">
      <c r="A1169" s="75"/>
      <c r="B1169" s="71"/>
      <c r="C1169" s="71"/>
      <c r="D1169" s="71"/>
      <c r="E1169" s="71"/>
      <c r="F1169" s="71"/>
      <c r="G1169" s="71"/>
      <c r="H1169" s="71"/>
      <c r="I1169" s="72"/>
    </row>
    <row r="1170" spans="1:9" x14ac:dyDescent="0.2">
      <c r="A1170" s="75"/>
      <c r="B1170" s="71"/>
      <c r="C1170" s="71"/>
      <c r="D1170" s="71"/>
      <c r="E1170" s="71"/>
      <c r="F1170" s="71"/>
      <c r="G1170" s="71"/>
      <c r="H1170" s="71"/>
      <c r="I1170" s="72"/>
    </row>
    <row r="1171" spans="1:9" x14ac:dyDescent="0.2">
      <c r="A1171" s="75"/>
      <c r="B1171" s="71"/>
      <c r="C1171" s="71"/>
      <c r="D1171" s="71"/>
      <c r="E1171" s="71"/>
      <c r="F1171" s="71"/>
      <c r="G1171" s="71"/>
      <c r="H1171" s="71"/>
      <c r="I1171" s="72"/>
    </row>
    <row r="1172" spans="1:9" x14ac:dyDescent="0.2">
      <c r="A1172" s="75"/>
      <c r="B1172" s="71"/>
      <c r="C1172" s="71"/>
      <c r="D1172" s="71"/>
      <c r="E1172" s="71"/>
      <c r="F1172" s="71"/>
      <c r="G1172" s="71"/>
      <c r="H1172" s="71"/>
      <c r="I1172" s="72"/>
    </row>
    <row r="1173" spans="1:9" x14ac:dyDescent="0.2">
      <c r="A1173" s="75"/>
      <c r="B1173" s="71"/>
      <c r="C1173" s="71"/>
      <c r="D1173" s="71"/>
      <c r="E1173" s="71"/>
      <c r="F1173" s="71"/>
      <c r="G1173" s="71"/>
      <c r="H1173" s="71"/>
      <c r="I1173" s="72"/>
    </row>
    <row r="1174" spans="1:9" x14ac:dyDescent="0.2">
      <c r="A1174" s="75"/>
      <c r="B1174" s="71"/>
      <c r="C1174" s="71"/>
      <c r="D1174" s="71"/>
      <c r="E1174" s="71"/>
      <c r="F1174" s="71"/>
      <c r="G1174" s="71"/>
      <c r="H1174" s="71"/>
      <c r="I1174" s="72"/>
    </row>
    <row r="1175" spans="1:9" x14ac:dyDescent="0.2">
      <c r="A1175" s="75"/>
      <c r="B1175" s="71"/>
      <c r="C1175" s="71"/>
      <c r="D1175" s="71"/>
      <c r="E1175" s="71"/>
      <c r="F1175" s="71"/>
      <c r="G1175" s="71"/>
      <c r="H1175" s="71"/>
      <c r="I1175" s="72"/>
    </row>
    <row r="1176" spans="1:9" x14ac:dyDescent="0.2">
      <c r="A1176" s="75"/>
      <c r="B1176" s="71"/>
      <c r="C1176" s="71"/>
      <c r="D1176" s="71"/>
      <c r="E1176" s="71"/>
      <c r="F1176" s="71"/>
      <c r="G1176" s="71"/>
      <c r="H1176" s="71"/>
      <c r="I1176" s="72"/>
    </row>
    <row r="1177" spans="1:9" x14ac:dyDescent="0.2">
      <c r="A1177" s="75"/>
      <c r="B1177" s="71"/>
      <c r="C1177" s="71"/>
      <c r="D1177" s="71"/>
      <c r="E1177" s="71"/>
      <c r="F1177" s="71"/>
      <c r="G1177" s="71"/>
      <c r="H1177" s="71"/>
      <c r="I1177" s="72"/>
    </row>
    <row r="1178" spans="1:9" x14ac:dyDescent="0.2">
      <c r="A1178" s="75"/>
      <c r="B1178" s="71"/>
      <c r="C1178" s="71"/>
      <c r="D1178" s="71"/>
      <c r="E1178" s="71"/>
      <c r="F1178" s="71"/>
      <c r="G1178" s="71"/>
      <c r="H1178" s="71"/>
      <c r="I1178" s="72"/>
    </row>
    <row r="1179" spans="1:9" x14ac:dyDescent="0.2">
      <c r="A1179" s="75"/>
      <c r="B1179" s="71"/>
      <c r="C1179" s="71"/>
      <c r="D1179" s="71"/>
      <c r="E1179" s="71"/>
      <c r="F1179" s="71"/>
      <c r="G1179" s="71"/>
      <c r="H1179" s="71"/>
      <c r="I1179" s="72"/>
    </row>
    <row r="1180" spans="1:9" x14ac:dyDescent="0.2">
      <c r="A1180" s="75"/>
      <c r="B1180" s="71"/>
      <c r="C1180" s="71"/>
      <c r="D1180" s="71"/>
      <c r="E1180" s="71"/>
      <c r="F1180" s="71"/>
      <c r="G1180" s="71"/>
      <c r="H1180" s="71"/>
      <c r="I1180" s="72"/>
    </row>
    <row r="1181" spans="1:9" x14ac:dyDescent="0.2">
      <c r="A1181" s="75"/>
      <c r="B1181" s="71"/>
      <c r="C1181" s="71"/>
      <c r="D1181" s="71"/>
      <c r="E1181" s="71"/>
      <c r="F1181" s="71"/>
      <c r="G1181" s="71"/>
      <c r="H1181" s="71"/>
      <c r="I1181" s="72"/>
    </row>
    <row r="1182" spans="1:9" x14ac:dyDescent="0.2">
      <c r="A1182" s="75"/>
      <c r="B1182" s="71"/>
      <c r="C1182" s="71"/>
      <c r="D1182" s="71"/>
      <c r="E1182" s="71"/>
      <c r="F1182" s="71"/>
      <c r="G1182" s="71"/>
      <c r="H1182" s="71"/>
      <c r="I1182" s="72"/>
    </row>
    <row r="1183" spans="1:9" x14ac:dyDescent="0.2">
      <c r="A1183" s="75"/>
      <c r="B1183" s="71"/>
      <c r="C1183" s="71"/>
      <c r="D1183" s="71"/>
      <c r="E1183" s="71"/>
      <c r="F1183" s="71"/>
      <c r="G1183" s="71"/>
      <c r="H1183" s="71"/>
      <c r="I1183" s="72"/>
    </row>
    <row r="1184" spans="1:9" x14ac:dyDescent="0.2">
      <c r="A1184" s="75"/>
      <c r="B1184" s="71"/>
      <c r="C1184" s="71"/>
      <c r="D1184" s="71"/>
      <c r="E1184" s="71"/>
      <c r="F1184" s="71"/>
      <c r="G1184" s="71"/>
      <c r="H1184" s="71"/>
      <c r="I1184" s="72"/>
    </row>
    <row r="1185" spans="1:9" x14ac:dyDescent="0.2">
      <c r="A1185" s="75"/>
      <c r="B1185" s="71"/>
      <c r="C1185" s="71"/>
      <c r="D1185" s="71"/>
      <c r="E1185" s="71"/>
      <c r="F1185" s="71"/>
      <c r="G1185" s="71"/>
      <c r="H1185" s="71"/>
      <c r="I1185" s="72"/>
    </row>
    <row r="1186" spans="1:9" x14ac:dyDescent="0.2">
      <c r="A1186" s="75"/>
      <c r="B1186" s="71"/>
      <c r="C1186" s="71"/>
      <c r="D1186" s="71"/>
      <c r="E1186" s="71"/>
      <c r="F1186" s="71"/>
      <c r="G1186" s="71"/>
      <c r="H1186" s="71"/>
      <c r="I1186" s="72"/>
    </row>
    <row r="1187" spans="1:9" x14ac:dyDescent="0.2">
      <c r="A1187" s="75"/>
      <c r="B1187" s="71"/>
      <c r="C1187" s="71"/>
      <c r="D1187" s="71"/>
      <c r="E1187" s="71"/>
      <c r="F1187" s="71"/>
      <c r="G1187" s="71"/>
      <c r="H1187" s="71"/>
      <c r="I1187" s="72"/>
    </row>
    <row r="1188" spans="1:9" x14ac:dyDescent="0.2">
      <c r="A1188" s="75"/>
      <c r="B1188" s="71"/>
      <c r="C1188" s="71"/>
      <c r="D1188" s="71"/>
      <c r="E1188" s="71"/>
      <c r="F1188" s="71"/>
      <c r="G1188" s="71"/>
      <c r="H1188" s="71"/>
      <c r="I1188" s="72"/>
    </row>
    <row r="1189" spans="1:9" x14ac:dyDescent="0.2">
      <c r="A1189" s="75"/>
      <c r="B1189" s="71"/>
      <c r="C1189" s="71"/>
      <c r="D1189" s="71"/>
      <c r="E1189" s="71"/>
      <c r="F1189" s="71"/>
      <c r="G1189" s="71"/>
      <c r="H1189" s="71"/>
      <c r="I1189" s="72"/>
    </row>
    <row r="1190" spans="1:9" x14ac:dyDescent="0.2">
      <c r="A1190" s="75"/>
      <c r="B1190" s="71"/>
      <c r="C1190" s="71"/>
      <c r="D1190" s="71"/>
      <c r="E1190" s="71"/>
      <c r="F1190" s="71"/>
      <c r="G1190" s="71"/>
      <c r="H1190" s="71"/>
      <c r="I1190" s="72"/>
    </row>
    <row r="1191" spans="1:9" x14ac:dyDescent="0.2">
      <c r="A1191" s="75"/>
      <c r="B1191" s="71"/>
      <c r="C1191" s="71"/>
      <c r="D1191" s="71"/>
      <c r="E1191" s="71"/>
      <c r="F1191" s="71"/>
      <c r="G1191" s="71"/>
      <c r="H1191" s="71"/>
      <c r="I1191" s="72"/>
    </row>
    <row r="1192" spans="1:9" x14ac:dyDescent="0.2">
      <c r="A1192" s="75"/>
      <c r="B1192" s="71"/>
      <c r="C1192" s="71"/>
      <c r="D1192" s="71"/>
      <c r="E1192" s="71"/>
      <c r="F1192" s="71"/>
      <c r="G1192" s="71"/>
      <c r="H1192" s="71"/>
      <c r="I1192" s="72"/>
    </row>
    <row r="1193" spans="1:9" x14ac:dyDescent="0.2">
      <c r="A1193" s="75"/>
      <c r="B1193" s="71"/>
      <c r="C1193" s="71"/>
      <c r="D1193" s="71"/>
      <c r="E1193" s="71"/>
      <c r="F1193" s="71"/>
      <c r="G1193" s="71"/>
      <c r="H1193" s="71"/>
      <c r="I1193" s="72"/>
    </row>
    <row r="1194" spans="1:9" x14ac:dyDescent="0.2">
      <c r="A1194" s="75"/>
      <c r="B1194" s="71"/>
      <c r="C1194" s="71"/>
      <c r="D1194" s="71"/>
      <c r="E1194" s="71"/>
      <c r="F1194" s="71"/>
      <c r="G1194" s="71"/>
      <c r="H1194" s="71"/>
      <c r="I1194" s="72"/>
    </row>
    <row r="1195" spans="1:9" x14ac:dyDescent="0.2">
      <c r="A1195" s="75"/>
      <c r="B1195" s="71"/>
      <c r="C1195" s="71"/>
      <c r="D1195" s="71"/>
      <c r="E1195" s="71"/>
      <c r="F1195" s="71"/>
      <c r="G1195" s="71"/>
      <c r="H1195" s="71"/>
      <c r="I1195" s="72"/>
    </row>
    <row r="1196" spans="1:9" x14ac:dyDescent="0.2">
      <c r="A1196" s="75"/>
      <c r="B1196" s="71"/>
      <c r="C1196" s="71"/>
      <c r="D1196" s="71"/>
      <c r="E1196" s="71"/>
      <c r="F1196" s="71"/>
      <c r="G1196" s="71"/>
      <c r="H1196" s="71"/>
      <c r="I1196" s="72"/>
    </row>
    <row r="1197" spans="1:9" x14ac:dyDescent="0.2">
      <c r="A1197" s="75"/>
      <c r="B1197" s="71"/>
      <c r="C1197" s="71"/>
      <c r="D1197" s="71"/>
      <c r="E1197" s="71"/>
      <c r="F1197" s="71"/>
      <c r="G1197" s="71"/>
      <c r="H1197" s="71"/>
      <c r="I1197" s="72"/>
    </row>
    <row r="1198" spans="1:9" x14ac:dyDescent="0.2">
      <c r="A1198" s="75"/>
      <c r="B1198" s="71"/>
      <c r="C1198" s="71"/>
      <c r="D1198" s="71"/>
      <c r="E1198" s="71"/>
      <c r="F1198" s="71"/>
      <c r="G1198" s="71"/>
      <c r="H1198" s="71"/>
      <c r="I1198" s="72"/>
    </row>
    <row r="1199" spans="1:9" x14ac:dyDescent="0.2">
      <c r="A1199" s="75"/>
      <c r="B1199" s="71"/>
      <c r="C1199" s="71"/>
      <c r="D1199" s="71"/>
      <c r="E1199" s="71"/>
      <c r="F1199" s="71"/>
      <c r="G1199" s="71"/>
      <c r="H1199" s="71"/>
      <c r="I1199" s="72"/>
    </row>
    <row r="1200" spans="1:9" x14ac:dyDescent="0.2">
      <c r="A1200" s="75"/>
      <c r="B1200" s="71"/>
      <c r="C1200" s="71"/>
      <c r="D1200" s="71"/>
      <c r="E1200" s="71"/>
      <c r="F1200" s="71"/>
      <c r="G1200" s="71"/>
      <c r="H1200" s="71"/>
      <c r="I1200" s="72"/>
    </row>
    <row r="1201" spans="1:9" x14ac:dyDescent="0.2">
      <c r="A1201" s="75"/>
      <c r="B1201" s="71"/>
      <c r="C1201" s="71"/>
      <c r="D1201" s="71"/>
      <c r="E1201" s="71"/>
      <c r="F1201" s="71"/>
      <c r="G1201" s="71"/>
      <c r="H1201" s="71"/>
      <c r="I1201" s="72"/>
    </row>
    <row r="1202" spans="1:9" x14ac:dyDescent="0.2">
      <c r="A1202" s="75"/>
      <c r="B1202" s="71"/>
      <c r="C1202" s="71"/>
      <c r="D1202" s="71"/>
      <c r="E1202" s="71"/>
      <c r="F1202" s="71"/>
      <c r="G1202" s="71"/>
      <c r="H1202" s="71"/>
      <c r="I1202" s="72"/>
    </row>
    <row r="1203" spans="1:9" x14ac:dyDescent="0.2">
      <c r="A1203" s="75"/>
      <c r="B1203" s="71"/>
      <c r="C1203" s="71"/>
      <c r="D1203" s="71"/>
      <c r="E1203" s="71"/>
      <c r="F1203" s="71"/>
      <c r="G1203" s="71"/>
      <c r="H1203" s="71"/>
      <c r="I1203" s="72"/>
    </row>
    <row r="1204" spans="1:9" x14ac:dyDescent="0.2">
      <c r="A1204" s="75"/>
      <c r="B1204" s="71"/>
      <c r="C1204" s="71"/>
      <c r="D1204" s="71"/>
      <c r="E1204" s="71"/>
      <c r="F1204" s="71"/>
      <c r="G1204" s="71"/>
      <c r="H1204" s="71"/>
      <c r="I1204" s="72"/>
    </row>
    <row r="1205" spans="1:9" x14ac:dyDescent="0.2">
      <c r="A1205" s="75"/>
      <c r="B1205" s="71"/>
      <c r="C1205" s="71"/>
      <c r="D1205" s="71"/>
      <c r="E1205" s="71"/>
      <c r="F1205" s="71"/>
      <c r="G1205" s="71"/>
      <c r="H1205" s="71"/>
      <c r="I1205" s="72"/>
    </row>
    <row r="1206" spans="1:9" x14ac:dyDescent="0.2">
      <c r="A1206" s="75"/>
      <c r="B1206" s="71"/>
      <c r="C1206" s="71"/>
      <c r="D1206" s="71"/>
      <c r="E1206" s="71"/>
      <c r="F1206" s="71"/>
      <c r="G1206" s="71"/>
      <c r="H1206" s="71"/>
      <c r="I1206" s="72"/>
    </row>
    <row r="1207" spans="1:9" x14ac:dyDescent="0.2">
      <c r="A1207" s="75"/>
      <c r="B1207" s="71"/>
      <c r="C1207" s="71"/>
      <c r="D1207" s="71"/>
      <c r="E1207" s="71"/>
      <c r="F1207" s="71"/>
      <c r="G1207" s="71"/>
      <c r="H1207" s="71"/>
      <c r="I1207" s="72"/>
    </row>
    <row r="1208" spans="1:9" x14ac:dyDescent="0.2">
      <c r="A1208" s="75"/>
      <c r="B1208" s="71"/>
      <c r="C1208" s="71"/>
      <c r="D1208" s="71"/>
      <c r="E1208" s="71"/>
      <c r="F1208" s="71"/>
      <c r="G1208" s="71"/>
      <c r="H1208" s="71"/>
      <c r="I1208" s="72"/>
    </row>
    <row r="1209" spans="1:9" x14ac:dyDescent="0.2">
      <c r="A1209" s="75"/>
      <c r="B1209" s="71"/>
      <c r="C1209" s="71"/>
      <c r="D1209" s="71"/>
      <c r="E1209" s="71"/>
      <c r="F1209" s="71"/>
      <c r="G1209" s="71"/>
      <c r="H1209" s="71"/>
      <c r="I1209" s="72"/>
    </row>
    <row r="1210" spans="1:9" x14ac:dyDescent="0.2">
      <c r="A1210" s="75"/>
      <c r="B1210" s="71"/>
      <c r="C1210" s="71"/>
      <c r="D1210" s="71"/>
      <c r="E1210" s="71"/>
      <c r="F1210" s="71"/>
      <c r="G1210" s="71"/>
      <c r="H1210" s="71"/>
      <c r="I1210" s="72"/>
    </row>
    <row r="1211" spans="1:9" x14ac:dyDescent="0.2">
      <c r="A1211" s="75"/>
      <c r="B1211" s="71"/>
      <c r="C1211" s="71"/>
      <c r="D1211" s="71"/>
      <c r="E1211" s="71"/>
      <c r="F1211" s="71"/>
      <c r="G1211" s="71"/>
      <c r="H1211" s="71"/>
      <c r="I1211" s="72"/>
    </row>
    <row r="1212" spans="1:9" x14ac:dyDescent="0.2">
      <c r="A1212" s="75"/>
      <c r="B1212" s="71"/>
      <c r="C1212" s="71"/>
      <c r="D1212" s="71"/>
      <c r="E1212" s="71"/>
      <c r="F1212" s="71"/>
      <c r="G1212" s="71"/>
      <c r="H1212" s="71"/>
      <c r="I1212" s="72"/>
    </row>
    <row r="1213" spans="1:9" x14ac:dyDescent="0.2">
      <c r="A1213" s="75"/>
      <c r="B1213" s="71"/>
      <c r="C1213" s="71"/>
      <c r="D1213" s="71"/>
      <c r="E1213" s="71"/>
      <c r="F1213" s="71"/>
      <c r="G1213" s="71"/>
      <c r="H1213" s="71"/>
      <c r="I1213" s="72"/>
    </row>
    <row r="1214" spans="1:9" x14ac:dyDescent="0.2">
      <c r="A1214" s="75"/>
      <c r="B1214" s="71"/>
      <c r="C1214" s="71"/>
      <c r="D1214" s="71"/>
      <c r="E1214" s="71"/>
      <c r="F1214" s="71"/>
      <c r="G1214" s="71"/>
      <c r="H1214" s="71"/>
      <c r="I1214" s="72"/>
    </row>
    <row r="1215" spans="1:9" x14ac:dyDescent="0.2">
      <c r="A1215" s="75"/>
      <c r="B1215" s="71"/>
      <c r="C1215" s="71"/>
      <c r="D1215" s="71"/>
      <c r="E1215" s="71"/>
      <c r="F1215" s="71"/>
      <c r="G1215" s="71"/>
      <c r="H1215" s="71"/>
      <c r="I1215" s="72"/>
    </row>
    <row r="1216" spans="1:9" x14ac:dyDescent="0.2">
      <c r="A1216" s="75"/>
      <c r="B1216" s="71"/>
      <c r="C1216" s="71"/>
      <c r="D1216" s="71"/>
      <c r="E1216" s="71"/>
      <c r="F1216" s="71"/>
      <c r="G1216" s="71"/>
      <c r="H1216" s="71"/>
      <c r="I1216" s="72"/>
    </row>
    <row r="1217" spans="1:9" x14ac:dyDescent="0.2">
      <c r="A1217" s="75"/>
      <c r="B1217" s="71"/>
      <c r="C1217" s="71"/>
      <c r="D1217" s="71"/>
      <c r="E1217" s="71"/>
      <c r="F1217" s="71"/>
      <c r="G1217" s="71"/>
      <c r="H1217" s="71"/>
      <c r="I1217" s="72"/>
    </row>
    <row r="1218" spans="1:9" x14ac:dyDescent="0.2">
      <c r="A1218" s="75"/>
      <c r="B1218" s="71"/>
      <c r="C1218" s="71"/>
      <c r="D1218" s="71"/>
      <c r="E1218" s="71"/>
      <c r="F1218" s="71"/>
      <c r="G1218" s="71"/>
      <c r="H1218" s="71"/>
      <c r="I1218" s="72"/>
    </row>
    <row r="1219" spans="1:9" x14ac:dyDescent="0.2">
      <c r="A1219" s="75"/>
      <c r="B1219" s="71"/>
      <c r="C1219" s="71"/>
      <c r="D1219" s="71"/>
      <c r="E1219" s="71"/>
      <c r="F1219" s="71"/>
      <c r="G1219" s="71"/>
      <c r="H1219" s="71"/>
      <c r="I1219" s="72"/>
    </row>
    <row r="1220" spans="1:9" x14ac:dyDescent="0.2">
      <c r="A1220" s="75"/>
      <c r="B1220" s="71"/>
      <c r="C1220" s="71"/>
      <c r="D1220" s="71"/>
      <c r="E1220" s="71"/>
      <c r="F1220" s="71"/>
      <c r="G1220" s="71"/>
      <c r="H1220" s="71"/>
      <c r="I1220" s="72"/>
    </row>
    <row r="1221" spans="1:9" x14ac:dyDescent="0.2">
      <c r="A1221" s="75"/>
      <c r="B1221" s="71"/>
      <c r="C1221" s="71"/>
      <c r="D1221" s="71"/>
      <c r="E1221" s="71"/>
      <c r="F1221" s="71"/>
      <c r="G1221" s="71"/>
      <c r="H1221" s="71"/>
      <c r="I1221" s="72"/>
    </row>
    <row r="1222" spans="1:9" x14ac:dyDescent="0.2">
      <c r="A1222" s="75"/>
      <c r="B1222" s="71"/>
      <c r="C1222" s="71"/>
      <c r="D1222" s="71"/>
      <c r="E1222" s="71"/>
      <c r="F1222" s="71"/>
      <c r="G1222" s="71"/>
      <c r="H1222" s="71"/>
      <c r="I1222" s="72"/>
    </row>
    <row r="1223" spans="1:9" x14ac:dyDescent="0.2">
      <c r="A1223" s="75"/>
      <c r="B1223" s="71"/>
      <c r="C1223" s="71"/>
      <c r="D1223" s="71"/>
      <c r="E1223" s="71"/>
      <c r="F1223" s="71"/>
      <c r="G1223" s="71"/>
      <c r="H1223" s="71"/>
      <c r="I1223" s="72"/>
    </row>
    <row r="1224" spans="1:9" x14ac:dyDescent="0.2">
      <c r="A1224" s="75"/>
      <c r="B1224" s="71"/>
      <c r="C1224" s="71"/>
      <c r="D1224" s="71"/>
      <c r="E1224" s="71"/>
      <c r="F1224" s="71"/>
      <c r="G1224" s="71"/>
      <c r="H1224" s="71"/>
      <c r="I1224" s="72"/>
    </row>
    <row r="1225" spans="1:9" x14ac:dyDescent="0.2">
      <c r="A1225" s="75"/>
      <c r="B1225" s="71"/>
      <c r="C1225" s="71"/>
      <c r="D1225" s="71"/>
      <c r="E1225" s="71"/>
      <c r="F1225" s="71"/>
      <c r="G1225" s="71"/>
      <c r="H1225" s="71"/>
      <c r="I1225" s="72"/>
    </row>
    <row r="1226" spans="1:9" x14ac:dyDescent="0.2">
      <c r="A1226" s="75"/>
      <c r="B1226" s="71"/>
      <c r="C1226" s="71"/>
      <c r="D1226" s="71"/>
      <c r="E1226" s="71"/>
      <c r="F1226" s="71"/>
      <c r="G1226" s="71"/>
      <c r="H1226" s="71"/>
      <c r="I1226" s="72"/>
    </row>
    <row r="1227" spans="1:9" x14ac:dyDescent="0.2">
      <c r="A1227" s="75"/>
      <c r="B1227" s="71"/>
      <c r="C1227" s="71"/>
      <c r="D1227" s="71"/>
      <c r="E1227" s="71"/>
      <c r="F1227" s="71"/>
      <c r="G1227" s="71"/>
      <c r="H1227" s="71"/>
      <c r="I1227" s="72"/>
    </row>
    <row r="1228" spans="1:9" x14ac:dyDescent="0.2">
      <c r="A1228" s="75"/>
      <c r="B1228" s="71"/>
      <c r="C1228" s="71"/>
      <c r="D1228" s="71"/>
      <c r="E1228" s="71"/>
      <c r="F1228" s="71"/>
      <c r="G1228" s="71"/>
      <c r="H1228" s="71"/>
      <c r="I1228" s="72"/>
    </row>
    <row r="1229" spans="1:9" x14ac:dyDescent="0.2">
      <c r="A1229" s="75"/>
      <c r="B1229" s="71"/>
      <c r="C1229" s="71"/>
      <c r="D1229" s="71"/>
      <c r="E1229" s="71"/>
      <c r="F1229" s="71"/>
      <c r="G1229" s="71"/>
      <c r="H1229" s="71"/>
      <c r="I1229" s="72"/>
    </row>
    <row r="1230" spans="1:9" x14ac:dyDescent="0.2">
      <c r="A1230" s="75"/>
      <c r="B1230" s="71"/>
      <c r="C1230" s="71"/>
      <c r="D1230" s="71"/>
      <c r="E1230" s="71"/>
      <c r="F1230" s="71"/>
      <c r="G1230" s="71"/>
      <c r="H1230" s="71"/>
      <c r="I1230" s="72"/>
    </row>
    <row r="1231" spans="1:9" x14ac:dyDescent="0.2">
      <c r="A1231" s="75"/>
      <c r="B1231" s="71"/>
      <c r="C1231" s="71"/>
      <c r="D1231" s="71"/>
      <c r="E1231" s="71"/>
      <c r="F1231" s="71"/>
      <c r="G1231" s="71"/>
      <c r="H1231" s="71"/>
      <c r="I1231" s="72"/>
    </row>
    <row r="1232" spans="1:9" x14ac:dyDescent="0.2">
      <c r="A1232" s="75"/>
      <c r="B1232" s="71"/>
      <c r="C1232" s="71"/>
      <c r="D1232" s="71"/>
      <c r="E1232" s="71"/>
      <c r="F1232" s="71"/>
      <c r="G1232" s="71"/>
      <c r="H1232" s="71"/>
      <c r="I1232" s="72"/>
    </row>
    <row r="1233" spans="1:9" x14ac:dyDescent="0.2">
      <c r="A1233" s="75"/>
      <c r="B1233" s="71"/>
      <c r="C1233" s="71"/>
      <c r="D1233" s="71"/>
      <c r="E1233" s="71"/>
      <c r="F1233" s="71"/>
      <c r="G1233" s="71"/>
      <c r="H1233" s="71"/>
      <c r="I1233" s="72"/>
    </row>
    <row r="1234" spans="1:9" x14ac:dyDescent="0.2">
      <c r="A1234" s="75"/>
      <c r="B1234" s="71"/>
      <c r="C1234" s="71"/>
      <c r="D1234" s="71"/>
      <c r="E1234" s="71"/>
      <c r="F1234" s="71"/>
      <c r="G1234" s="71"/>
      <c r="H1234" s="71"/>
      <c r="I1234" s="72"/>
    </row>
    <row r="1235" spans="1:9" x14ac:dyDescent="0.2">
      <c r="A1235" s="75"/>
      <c r="B1235" s="71"/>
      <c r="C1235" s="71"/>
      <c r="D1235" s="71"/>
      <c r="E1235" s="71"/>
      <c r="F1235" s="71"/>
      <c r="G1235" s="71"/>
      <c r="H1235" s="71"/>
      <c r="I1235" s="72"/>
    </row>
    <row r="1236" spans="1:9" x14ac:dyDescent="0.2">
      <c r="A1236" s="75"/>
      <c r="B1236" s="71"/>
      <c r="C1236" s="71"/>
      <c r="D1236" s="71"/>
      <c r="E1236" s="71"/>
      <c r="F1236" s="71"/>
      <c r="G1236" s="71"/>
      <c r="H1236" s="71"/>
      <c r="I1236" s="72"/>
    </row>
    <row r="1237" spans="1:9" x14ac:dyDescent="0.2">
      <c r="A1237" s="75"/>
      <c r="B1237" s="71"/>
      <c r="C1237" s="71"/>
      <c r="D1237" s="71"/>
      <c r="E1237" s="71"/>
      <c r="F1237" s="71"/>
      <c r="G1237" s="71"/>
      <c r="H1237" s="71"/>
      <c r="I1237" s="72"/>
    </row>
    <row r="1238" spans="1:9" x14ac:dyDescent="0.2">
      <c r="A1238" s="75"/>
      <c r="B1238" s="71"/>
      <c r="C1238" s="71"/>
      <c r="D1238" s="71"/>
      <c r="E1238" s="71"/>
      <c r="F1238" s="71"/>
      <c r="G1238" s="71"/>
      <c r="H1238" s="71"/>
      <c r="I1238" s="72"/>
    </row>
    <row r="1239" spans="1:9" x14ac:dyDescent="0.2">
      <c r="A1239" s="75"/>
      <c r="B1239" s="71"/>
      <c r="C1239" s="71"/>
      <c r="D1239" s="71"/>
      <c r="E1239" s="71"/>
      <c r="F1239" s="71"/>
      <c r="G1239" s="71"/>
      <c r="H1239" s="71"/>
      <c r="I1239" s="72"/>
    </row>
    <row r="1240" spans="1:9" x14ac:dyDescent="0.2">
      <c r="A1240" s="75"/>
      <c r="B1240" s="71"/>
      <c r="C1240" s="71"/>
      <c r="D1240" s="71"/>
      <c r="E1240" s="71"/>
      <c r="F1240" s="71"/>
      <c r="G1240" s="71"/>
      <c r="H1240" s="71"/>
      <c r="I1240" s="72"/>
    </row>
    <row r="1241" spans="1:9" x14ac:dyDescent="0.2">
      <c r="A1241" s="75"/>
      <c r="B1241" s="71"/>
      <c r="C1241" s="71"/>
      <c r="D1241" s="71"/>
      <c r="E1241" s="71"/>
      <c r="F1241" s="71"/>
      <c r="G1241" s="71"/>
      <c r="H1241" s="71"/>
      <c r="I1241" s="72"/>
    </row>
    <row r="1242" spans="1:9" x14ac:dyDescent="0.2">
      <c r="A1242" s="75"/>
      <c r="B1242" s="71"/>
      <c r="C1242" s="71"/>
      <c r="D1242" s="71"/>
      <c r="E1242" s="71"/>
      <c r="F1242" s="71"/>
      <c r="G1242" s="71"/>
      <c r="H1242" s="71"/>
      <c r="I1242" s="72"/>
    </row>
    <row r="1243" spans="1:9" x14ac:dyDescent="0.2">
      <c r="A1243" s="75"/>
      <c r="B1243" s="71"/>
      <c r="C1243" s="71"/>
      <c r="D1243" s="71"/>
      <c r="E1243" s="71"/>
      <c r="F1243" s="71"/>
      <c r="G1243" s="71"/>
      <c r="H1243" s="71"/>
      <c r="I1243" s="72"/>
    </row>
    <row r="1244" spans="1:9" x14ac:dyDescent="0.2">
      <c r="A1244" s="75"/>
      <c r="B1244" s="71"/>
      <c r="C1244" s="71"/>
      <c r="D1244" s="71"/>
      <c r="E1244" s="71"/>
      <c r="F1244" s="71"/>
      <c r="G1244" s="71"/>
      <c r="H1244" s="71"/>
      <c r="I1244" s="72"/>
    </row>
    <row r="1245" spans="1:9" x14ac:dyDescent="0.2">
      <c r="H1245" s="71"/>
    </row>
    <row r="1246" spans="1:9" x14ac:dyDescent="0.2">
      <c r="H1246" s="71"/>
    </row>
    <row r="1247" spans="1:9" x14ac:dyDescent="0.2">
      <c r="H1247" s="71"/>
    </row>
    <row r="1248" spans="1:9" x14ac:dyDescent="0.2">
      <c r="H1248" s="71"/>
    </row>
    <row r="1249" spans="8:8" x14ac:dyDescent="0.2">
      <c r="H1249" s="71"/>
    </row>
    <row r="1250" spans="8:8" x14ac:dyDescent="0.2">
      <c r="H1250" s="71"/>
    </row>
    <row r="1251" spans="8:8" x14ac:dyDescent="0.2">
      <c r="H1251" s="71"/>
    </row>
    <row r="1252" spans="8:8" x14ac:dyDescent="0.2">
      <c r="H1252" s="71"/>
    </row>
    <row r="1253" spans="8:8" x14ac:dyDescent="0.2">
      <c r="H1253" s="71"/>
    </row>
    <row r="1254" spans="8:8" x14ac:dyDescent="0.2">
      <c r="H1254" s="71"/>
    </row>
    <row r="1255" spans="8:8" x14ac:dyDescent="0.2">
      <c r="H1255" s="71"/>
    </row>
  </sheetData>
  <mergeCells count="8">
    <mergeCell ref="I3:I4"/>
    <mergeCell ref="G3:G4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paperSize="9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254"/>
  <sheetViews>
    <sheetView view="pageBreakPreview" zoomScaleNormal="110" zoomScaleSheetLayoutView="100" workbookViewId="0">
      <selection activeCell="K2" sqref="K2"/>
    </sheetView>
  </sheetViews>
  <sheetFormatPr baseColWidth="10" defaultColWidth="9.1640625" defaultRowHeight="15" x14ac:dyDescent="0.2"/>
  <cols>
    <col min="1" max="1" width="17.5" style="4" bestFit="1" customWidth="1"/>
    <col min="2" max="2" width="3.1640625" style="4" customWidth="1"/>
    <col min="3" max="3" width="7.6640625" style="4" customWidth="1"/>
    <col min="4" max="4" width="14.6640625" style="4" customWidth="1"/>
    <col min="5" max="5" width="7.6640625" style="4" customWidth="1"/>
    <col min="6" max="6" width="21.33203125" style="4" customWidth="1"/>
    <col min="7" max="7" width="2.33203125" style="4" customWidth="1"/>
    <col min="8" max="8" width="7.6640625" style="4" customWidth="1"/>
    <col min="9" max="9" width="14.6640625" style="4" customWidth="1"/>
    <col min="10" max="10" width="9.1640625" style="4"/>
    <col min="11" max="12" width="8.6640625" style="4" customWidth="1"/>
    <col min="13" max="13" width="22.33203125" style="63" customWidth="1"/>
    <col min="14" max="14" width="31.5" style="4" bestFit="1" customWidth="1"/>
    <col min="15" max="15" width="9.1640625" style="4" customWidth="1"/>
    <col min="16" max="16384" width="9.1640625" style="4"/>
  </cols>
  <sheetData>
    <row r="1" spans="1:15" ht="19" x14ac:dyDescent="0.2">
      <c r="B1" s="2"/>
      <c r="D1" s="2" t="s">
        <v>33</v>
      </c>
      <c r="I1" s="6" t="s">
        <v>13</v>
      </c>
      <c r="M1" s="63" t="s">
        <v>396</v>
      </c>
      <c r="N1" s="16">
        <v>176</v>
      </c>
    </row>
    <row r="2" spans="1:15" x14ac:dyDescent="0.2">
      <c r="D2" s="4" t="s">
        <v>34</v>
      </c>
      <c r="I2" s="62" t="str">
        <f>'DATA GAJI'!C1</f>
        <v>April 2023</v>
      </c>
      <c r="M2" s="63" t="s">
        <v>397</v>
      </c>
      <c r="N2" s="16" t="s">
        <v>601</v>
      </c>
      <c r="O2" s="16"/>
    </row>
    <row r="3" spans="1:15" x14ac:dyDescent="0.2">
      <c r="D3" s="4" t="s">
        <v>35</v>
      </c>
      <c r="M3" s="63" t="s">
        <v>398</v>
      </c>
      <c r="N3" s="188"/>
      <c r="O3" s="188"/>
    </row>
    <row r="4" spans="1:15" ht="16" thickBot="1" x14ac:dyDescent="0.25">
      <c r="A4" s="5"/>
      <c r="B4" s="3"/>
      <c r="C4" s="5"/>
      <c r="D4" s="3" t="s">
        <v>36</v>
      </c>
      <c r="E4" s="5"/>
      <c r="F4" s="5"/>
      <c r="G4" s="5"/>
      <c r="H4" s="5"/>
      <c r="I4" s="5"/>
      <c r="M4" s="63" t="s">
        <v>0</v>
      </c>
      <c r="N4" s="188" t="str">
        <f>VLOOKUP(N1,'DATA GAJI'!$A$9:$AD$912,3,0)</f>
        <v>24207</v>
      </c>
      <c r="O4" s="188"/>
    </row>
    <row r="5" spans="1:15" x14ac:dyDescent="0.2">
      <c r="M5" s="63" t="s">
        <v>399</v>
      </c>
      <c r="N5" s="188" t="str">
        <f>VLOOKUP($N$1,'DATA GAJI'!$A$9:$AE$912,31,0)</f>
        <v>6283847668589</v>
      </c>
      <c r="O5" s="188"/>
    </row>
    <row r="6" spans="1:15" x14ac:dyDescent="0.2">
      <c r="A6" s="7" t="s">
        <v>0</v>
      </c>
      <c r="B6" s="7" t="s">
        <v>2</v>
      </c>
      <c r="C6" s="171" t="str">
        <f>VLOOKUP(N1,'DATA GAJI'!$A$9:$AE$912,3,0)</f>
        <v>24207</v>
      </c>
      <c r="D6" s="171"/>
      <c r="E6" s="7"/>
      <c r="F6" s="7" t="s">
        <v>597</v>
      </c>
      <c r="G6" s="7" t="s">
        <v>2</v>
      </c>
      <c r="H6" s="171">
        <f>VLOOKUP(N1,'DATA GAJI'!$A$9:$AE$912,4,0)</f>
        <v>20</v>
      </c>
      <c r="I6" s="171"/>
    </row>
    <row r="7" spans="1:15" ht="15" customHeight="1" x14ac:dyDescent="0.2">
      <c r="A7" s="7" t="s">
        <v>1</v>
      </c>
      <c r="B7" s="7" t="s">
        <v>2</v>
      </c>
      <c r="C7" s="181" t="str">
        <f>VLOOKUP(N1,'DATA GAJI'!$A$9:$AE$912,2,0)</f>
        <v>Sri Widarsih</v>
      </c>
      <c r="D7" s="181"/>
      <c r="E7" s="181"/>
      <c r="F7" s="7" t="s">
        <v>37</v>
      </c>
      <c r="G7" s="7" t="s">
        <v>2</v>
      </c>
      <c r="H7" s="177" t="str">
        <f>VLOOKUP(N1,'DATA GAJI'!$A$9:$AE$912,7,0)</f>
        <v>Pelaksana Instalasi Gizi</v>
      </c>
      <c r="I7" s="177"/>
    </row>
    <row r="8" spans="1:15" ht="7.5" customHeight="1" x14ac:dyDescent="0.2">
      <c r="A8" s="7"/>
      <c r="B8" s="7"/>
      <c r="C8" s="7"/>
      <c r="D8" s="7"/>
      <c r="E8" s="7"/>
      <c r="F8" s="7"/>
      <c r="G8" s="7"/>
      <c r="H8" s="178"/>
      <c r="I8" s="178"/>
      <c r="N8" s="1"/>
      <c r="O8" s="1"/>
    </row>
    <row r="9" spans="1:15" s="1" customFormat="1" ht="16" thickBot="1" x14ac:dyDescent="0.25">
      <c r="A9" s="8" t="s">
        <v>3</v>
      </c>
      <c r="B9" s="8"/>
      <c r="C9" s="8"/>
      <c r="D9" s="8"/>
      <c r="E9" s="8"/>
      <c r="F9" s="8" t="s">
        <v>4</v>
      </c>
      <c r="G9" s="8"/>
      <c r="H9" s="8"/>
      <c r="I9" s="8"/>
      <c r="M9" s="64"/>
      <c r="N9" s="4"/>
      <c r="O9" s="4"/>
    </row>
    <row r="10" spans="1:15" ht="16" thickTop="1" x14ac:dyDescent="0.2">
      <c r="A10" s="7" t="s">
        <v>584</v>
      </c>
      <c r="B10" s="7" t="s">
        <v>2</v>
      </c>
      <c r="C10" s="7"/>
      <c r="D10" s="9">
        <f>VLOOKUP(N1,'DATA GAJI'!$A$9:$AE$912,10,0)</f>
        <v>1673624.69</v>
      </c>
      <c r="E10" s="7"/>
      <c r="F10" s="7" t="str">
        <f>'DATA GAJI'!R7</f>
        <v>JAM TERBUANG</v>
      </c>
      <c r="G10" s="7" t="s">
        <v>2</v>
      </c>
      <c r="H10" s="7"/>
      <c r="I10" s="70" t="str">
        <f>VLOOKUP(N1,'DATA GAJI'!$A$9:$AE$912,18,0)&amp;" Menit"</f>
        <v>0 Menit</v>
      </c>
    </row>
    <row r="11" spans="1:15" x14ac:dyDescent="0.2">
      <c r="A11" s="7"/>
      <c r="B11" s="7"/>
      <c r="C11" s="7"/>
      <c r="D11" s="9"/>
      <c r="E11" s="7"/>
      <c r="F11" s="7" t="str">
        <f>'DATA GAJI'!S7</f>
        <v>POT ABSENSI</v>
      </c>
      <c r="G11" s="7" t="s">
        <v>2</v>
      </c>
      <c r="H11" s="7"/>
      <c r="I11" s="9">
        <f>VLOOKUP(N1,'DATA GAJI'!$A$9:$AE$912,19,0)</f>
        <v>0</v>
      </c>
    </row>
    <row r="12" spans="1:15" x14ac:dyDescent="0.2">
      <c r="A12" s="7" t="str">
        <f>'DATA GAJI'!K7</f>
        <v>TUNJANGAN JABATAN</v>
      </c>
      <c r="B12" s="7" t="s">
        <v>2</v>
      </c>
      <c r="C12" s="7"/>
      <c r="D12" s="9">
        <f>VLOOKUP(N1,'DATA GAJI'!$A$9:$AE$912,11,0)</f>
        <v>0</v>
      </c>
      <c r="E12" s="7"/>
      <c r="F12" s="7" t="str">
        <f>'DATA GAJI'!T7</f>
        <v>POT KASIR</v>
      </c>
      <c r="G12" s="7" t="s">
        <v>2</v>
      </c>
      <c r="H12" s="7"/>
      <c r="I12" s="9">
        <f>VLOOKUP(N1,'DATA GAJI'!$A$9:$AE$912,20,0)</f>
        <v>0</v>
      </c>
    </row>
    <row r="13" spans="1:15" x14ac:dyDescent="0.2">
      <c r="A13" s="7" t="str">
        <f>'DATA GAJI'!L7</f>
        <v>KOMPENSASI</v>
      </c>
      <c r="B13" s="7" t="s">
        <v>2</v>
      </c>
      <c r="C13" s="7"/>
      <c r="D13" s="9">
        <f>VLOOKUP(N1,'DATA GAJI'!$A$9:$AE$912,12,0)</f>
        <v>0</v>
      </c>
      <c r="E13" s="7"/>
      <c r="F13" s="7" t="str">
        <f>'DATA GAJI'!U7</f>
        <v>KELEBIHAN</v>
      </c>
      <c r="G13" s="7" t="s">
        <v>2</v>
      </c>
      <c r="H13" s="7"/>
      <c r="I13" s="9">
        <f>VLOOKUP(N1,'DATA GAJI'!$A$9:$AE$912,21,0)</f>
        <v>0</v>
      </c>
    </row>
    <row r="14" spans="1:15" x14ac:dyDescent="0.2">
      <c r="A14" s="7" t="str">
        <f>'DATA GAJI'!M7</f>
        <v>LEMBUR</v>
      </c>
      <c r="B14" s="7" t="s">
        <v>2</v>
      </c>
      <c r="C14" s="7"/>
      <c r="D14" s="9">
        <f>VLOOKUP(N1,'DATA GAJI'!$A$9:$AE$912,13,0)</f>
        <v>101843.86607897724</v>
      </c>
      <c r="E14" s="7"/>
      <c r="F14" s="7" t="s">
        <v>585</v>
      </c>
      <c r="G14" s="7" t="s">
        <v>2</v>
      </c>
      <c r="H14" s="7"/>
      <c r="I14" s="70" t="str">
        <f>VLOOKUP(N1,'DATA GAJI'!$A$9:$AE$912,5,0)&amp;" Hari"</f>
        <v>0 Hari</v>
      </c>
    </row>
    <row r="15" spans="1:15" x14ac:dyDescent="0.2">
      <c r="A15" s="7" t="str">
        <f>'DATA GAJI'!N7</f>
        <v>BPJS TK</v>
      </c>
      <c r="B15" s="7" t="s">
        <v>2</v>
      </c>
      <c r="C15" s="7"/>
      <c r="D15" s="9">
        <f>VLOOKUP(N1,'DATA GAJI'!$A$9:$AE$912,14,0)</f>
        <v>0</v>
      </c>
      <c r="E15" s="7"/>
      <c r="F15" s="7" t="str">
        <f>'DATA GAJI'!V7</f>
        <v>POTONGAN HARI KERJA</v>
      </c>
      <c r="G15" s="7" t="s">
        <v>2</v>
      </c>
      <c r="H15" s="7"/>
      <c r="I15" s="9">
        <f>VLOOKUP(N1,'DATA GAJI'!$A$9:$AE$912,22,0)</f>
        <v>0</v>
      </c>
    </row>
    <row r="16" spans="1:15" x14ac:dyDescent="0.2">
      <c r="A16" s="7" t="str">
        <f>'DATA GAJI'!O7</f>
        <v>BPJS KES</v>
      </c>
      <c r="B16" s="7" t="s">
        <v>2</v>
      </c>
      <c r="C16" s="7"/>
      <c r="D16" s="9">
        <f>VLOOKUP(N1,'DATA GAJI'!$A$9:$AE$912,15,0)</f>
        <v>0</v>
      </c>
      <c r="E16" s="7"/>
      <c r="F16" s="73" t="s">
        <v>592</v>
      </c>
      <c r="G16" s="7" t="s">
        <v>2</v>
      </c>
      <c r="H16" s="7"/>
      <c r="I16" s="70" t="str">
        <f>VLOOKUP(N1,'DATA GAJI'!$A$9:$AE$912,6,0)&amp;" Hari"</f>
        <v>0 Hari</v>
      </c>
    </row>
    <row r="17" spans="1:15" x14ac:dyDescent="0.2">
      <c r="A17" s="7" t="str">
        <f>'DATA GAJI'!P7</f>
        <v>KEKURANGAN</v>
      </c>
      <c r="B17" s="7" t="s">
        <v>2</v>
      </c>
      <c r="C17" s="7"/>
      <c r="D17" s="9">
        <f>VLOOKUP(N1,'DATA GAJI'!$A$9:$AE$912,16,0)</f>
        <v>0</v>
      </c>
      <c r="E17" s="7" t="s">
        <v>655</v>
      </c>
      <c r="F17" s="7" t="s">
        <v>591</v>
      </c>
      <c r="G17" s="7" t="s">
        <v>2</v>
      </c>
      <c r="H17" s="7"/>
      <c r="I17" s="9">
        <f>VLOOKUP(N1,'DATA GAJI'!$A$9:$AE$912,23,0)</f>
        <v>0</v>
      </c>
      <c r="N17" s="1"/>
      <c r="O17" s="1"/>
    </row>
    <row r="18" spans="1:15" s="1" customFormat="1" x14ac:dyDescent="0.2">
      <c r="E18" s="7"/>
      <c r="F18" s="73" t="str">
        <f>'DATA GAJI'!X7</f>
        <v>BPJS KES</v>
      </c>
      <c r="G18" s="7" t="s">
        <v>2</v>
      </c>
      <c r="H18" s="7"/>
      <c r="I18" s="9">
        <f>VLOOKUP(N1,'DATA GAJI'!$A$9:$AE$912,24,0)</f>
        <v>0</v>
      </c>
      <c r="K18" s="65" t="s">
        <v>400</v>
      </c>
      <c r="L18" s="66">
        <v>8</v>
      </c>
      <c r="M18" s="64"/>
      <c r="N18" s="4"/>
      <c r="O18" s="4"/>
    </row>
    <row r="19" spans="1:15" ht="15" customHeight="1" x14ac:dyDescent="0.2">
      <c r="E19" s="7"/>
      <c r="F19" s="7" t="str">
        <f>'DATA GAJI'!Y7</f>
        <v>BPJS TK</v>
      </c>
      <c r="G19" s="7" t="s">
        <v>2</v>
      </c>
      <c r="H19" s="7"/>
      <c r="I19" s="9">
        <f>VLOOKUP(N1,'DATA GAJI'!$A$9:$AE$912,25,0)</f>
        <v>0</v>
      </c>
    </row>
    <row r="20" spans="1:15" ht="15.75" customHeight="1" thickBot="1" x14ac:dyDescent="0.25">
      <c r="A20" s="7"/>
      <c r="B20" s="7"/>
      <c r="C20" s="7"/>
      <c r="D20" s="9"/>
      <c r="E20" s="7"/>
      <c r="K20" s="4" t="s">
        <v>404</v>
      </c>
      <c r="L20" s="4">
        <v>154</v>
      </c>
      <c r="M20" s="69" t="s">
        <v>406</v>
      </c>
    </row>
    <row r="21" spans="1:15" ht="15.75" customHeight="1" thickTop="1" thickBot="1" x14ac:dyDescent="0.25">
      <c r="A21" s="10" t="s">
        <v>11</v>
      </c>
      <c r="B21" s="10"/>
      <c r="C21" s="10"/>
      <c r="D21" s="11">
        <f>VLOOKUP(N1,'DATA GAJI'!$A$9:$AE$912,17,0)</f>
        <v>1775468.5560789772</v>
      </c>
      <c r="E21" s="10"/>
      <c r="F21" s="10" t="s">
        <v>12</v>
      </c>
      <c r="G21" s="10"/>
      <c r="H21" s="10"/>
      <c r="I21" s="11">
        <f>VLOOKUP(N1,'DATA GAJI'!$A$9:$AE$912,26,0)</f>
        <v>0</v>
      </c>
      <c r="K21" s="4" t="s">
        <v>405</v>
      </c>
      <c r="L21" s="4">
        <v>156</v>
      </c>
      <c r="M21" s="69" t="s">
        <v>407</v>
      </c>
    </row>
    <row r="22" spans="1:15" ht="15.75" customHeight="1" thickTop="1" x14ac:dyDescent="0.2">
      <c r="A22" s="7"/>
      <c r="B22" s="7"/>
      <c r="C22" s="7"/>
      <c r="D22" s="7"/>
      <c r="E22" s="7"/>
      <c r="F22" s="7"/>
      <c r="G22" s="7"/>
      <c r="H22" s="7"/>
      <c r="I22" s="7"/>
    </row>
    <row r="23" spans="1:15" ht="15.75" customHeight="1" x14ac:dyDescent="0.2">
      <c r="A23" s="7" t="s">
        <v>26</v>
      </c>
      <c r="B23" s="7" t="s">
        <v>2</v>
      </c>
      <c r="C23" s="180">
        <f>VLOOKUP(N1,'DATA GAJI'!$A$9:$AE$912,27,0)</f>
        <v>1775468.5560789772</v>
      </c>
      <c r="D23" s="180"/>
      <c r="E23" s="7"/>
      <c r="F23" s="7"/>
      <c r="G23" s="7"/>
      <c r="H23" s="7"/>
      <c r="I23" s="7"/>
    </row>
    <row r="24" spans="1:15" ht="15" customHeight="1" thickBot="1" x14ac:dyDescent="0.25">
      <c r="A24" s="7" t="s">
        <v>27</v>
      </c>
      <c r="B24" s="7" t="s">
        <v>2</v>
      </c>
      <c r="C24" s="179">
        <f>VLOOKUP(N1,'DATA GAJI'!$A$9:$AE$912,28,0)</f>
        <v>31.44392102281563</v>
      </c>
      <c r="D24" s="179"/>
      <c r="E24" s="7"/>
      <c r="F24" s="7"/>
      <c r="G24" s="7"/>
      <c r="H24" s="7"/>
      <c r="I24" s="7"/>
    </row>
    <row r="25" spans="1:15" ht="15" customHeight="1" x14ac:dyDescent="0.2">
      <c r="A25" s="12" t="s">
        <v>28</v>
      </c>
      <c r="B25" s="7" t="s">
        <v>2</v>
      </c>
      <c r="C25" s="175">
        <f>VLOOKUP(N1,'DATA GAJI'!$A$9:$AE$912,29,0)</f>
        <v>1775500</v>
      </c>
      <c r="D25" s="176"/>
      <c r="E25" s="7"/>
      <c r="F25" s="7"/>
      <c r="G25" s="7"/>
      <c r="H25" s="7"/>
      <c r="I25" s="7"/>
    </row>
    <row r="26" spans="1:15" ht="15" customHeight="1" x14ac:dyDescent="0.2">
      <c r="A26" s="7"/>
      <c r="B26" s="7"/>
      <c r="C26" s="182" t="str">
        <f>PROPER("("&amp;IF(C25=0,"nol",IF(C25&lt;0,"minus ","")&amp; 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 IF(--MID(TEXT(ABS(C25),"000000000000000"),1,3)=0,"",MID(TEXT(ABS(C25),"000000000000000"),1,1)&amp;" ratus "&amp;MID(TEXT(ABS(C25),"000000000000000"),2,1)&amp;" puluh "&amp;MID(TEXT(ABS(C25),"000000000000000"),3,1)&amp;" trilyun ")&amp; IF(--MID(TEXT(ABS(C25),"000000000000000"),4,3)=0,"",MID(TEXT(ABS(C25),"000000000000000"),4,1)&amp;" ratus "&amp;MID(TEXT(ABS(C25),"000000000000000"),5,1)&amp;" puluh "&amp;MID(TEXT(ABS(C25),"000000000000000"),6,1)&amp;" milyar ")&amp; IF(--MID(TEXT(ABS(C25),"000000000000000"),7,3)=0,"",MID(TEXT(ABS(C25),"000000000000000"),7,1)&amp;" ratus "&amp;MID(TEXT(ABS(C25),"000000000000000"),8,1)&amp;" puluh "&amp;MID(TEXT(ABS(C25),"000000000000000"),9,1)&amp;" juta ")&amp; IF(--MID(TEXT(ABS(C25),"000000000000000"),10,3)=0,"",IF(--MID(TEXT(ABS(C25),"000000000000000"),10,3)=1,"*",MID(TEXT(ABS(C25),"000000000000000"),10,1)&amp;" ratus "&amp;MID(TEXT(ABS(C25),"000000000000000"),11,1)&amp;" puluh ")&amp;MID(TEXT(ABS(C25),"000000000000000"),12,1)&amp;" ribu ")&amp; IF(--MID(TEXT(ABS(C25),"000000000000000"),13,3)=0,"",MID(TEXT(ABS(C25),"000000000000000"),13,1)&amp;" ratus "&amp;MID(TEXT(ABS(C25),"000000000000000"),14,1)&amp;" puluh "&amp;MID(TEXT(ABS(C25),"000000000000000"),15,1)),1,"satu"),2,"dua"),3,"tiga"),4,"empat"),5,"lima"),6,"enam"),7,"tujuh"),8,"delapan"),9,"sembilan"),"0 ratus",""),"0 puluh",""),"satu puluh 0","sepuluh"),"satu puluh satu","sebelas"),"satu puluh dua","duabelas"),"satu puluh tiga","tigabelas"),"satu puluh empat","empatbelas"),"satu puluh lima","limabelas"),"satu puluh enam","enambelas"),"satu puluh tujuh","tujuhbelas"),"satu puluh delapan","delapanbelas"),"satu puluh sembilan","sembilanbelas"),"satu ratus","seratus"),"*satu ribu","seribu"),0,""))," "," "))&amp;" rupiah)")</f>
        <v>(Satu Juta Tujuh Ratus Tujuh Puluh Lima Ribu Lima Ratus Rupiah)</v>
      </c>
      <c r="D26" s="183"/>
      <c r="E26" s="183"/>
      <c r="F26" s="183"/>
      <c r="G26" s="184"/>
      <c r="H26" s="13"/>
      <c r="I26" s="13"/>
    </row>
    <row r="27" spans="1:15" x14ac:dyDescent="0.2">
      <c r="A27" s="7"/>
      <c r="B27" s="7"/>
      <c r="C27" s="185"/>
      <c r="D27" s="186"/>
      <c r="E27" s="186"/>
      <c r="F27" s="186"/>
      <c r="G27" s="187"/>
      <c r="H27" s="13"/>
      <c r="I27" s="13"/>
    </row>
    <row r="28" spans="1:15" x14ac:dyDescent="0.2">
      <c r="A28" s="7"/>
      <c r="B28" s="7"/>
      <c r="C28" s="25"/>
      <c r="D28" s="25"/>
      <c r="E28" s="25"/>
      <c r="F28" s="25"/>
      <c r="G28" s="25"/>
      <c r="H28" s="13"/>
      <c r="I28" s="13"/>
    </row>
    <row r="29" spans="1:15" ht="19" x14ac:dyDescent="0.2">
      <c r="A29" s="7"/>
      <c r="B29" s="7"/>
      <c r="C29" s="7"/>
      <c r="D29" s="2" t="s">
        <v>33</v>
      </c>
      <c r="E29" s="7"/>
      <c r="F29" s="7"/>
      <c r="G29" s="7"/>
      <c r="H29" s="26"/>
      <c r="I29" s="12" t="s">
        <v>293</v>
      </c>
    </row>
    <row r="30" spans="1:15" x14ac:dyDescent="0.2">
      <c r="D30" s="4" t="s">
        <v>34</v>
      </c>
      <c r="I30" s="27"/>
    </row>
    <row r="31" spans="1:15" x14ac:dyDescent="0.2">
      <c r="D31" s="4" t="s">
        <v>35</v>
      </c>
    </row>
    <row r="32" spans="1:15" ht="16" thickBot="1" x14ac:dyDescent="0.25">
      <c r="A32" s="5"/>
      <c r="B32" s="5"/>
      <c r="C32" s="5"/>
      <c r="D32" s="3" t="s">
        <v>36</v>
      </c>
      <c r="E32" s="5"/>
      <c r="F32" s="5"/>
      <c r="G32" s="5"/>
      <c r="H32" s="5"/>
      <c r="I32" s="5"/>
    </row>
    <row r="34" spans="1:9" x14ac:dyDescent="0.2">
      <c r="A34" s="172" t="s">
        <v>299</v>
      </c>
      <c r="B34" s="172" t="s">
        <v>300</v>
      </c>
      <c r="C34" s="172" t="s">
        <v>294</v>
      </c>
      <c r="D34" s="172" t="s">
        <v>295</v>
      </c>
      <c r="E34" s="172" t="s">
        <v>296</v>
      </c>
      <c r="F34" s="116" t="s">
        <v>301</v>
      </c>
      <c r="G34" s="172" t="s">
        <v>297</v>
      </c>
      <c r="H34" s="172"/>
      <c r="I34" s="172" t="s">
        <v>298</v>
      </c>
    </row>
    <row r="35" spans="1:9" x14ac:dyDescent="0.2">
      <c r="A35" s="172"/>
      <c r="B35" s="172"/>
      <c r="C35" s="172"/>
      <c r="D35" s="172"/>
      <c r="E35" s="172"/>
      <c r="F35" s="116" t="s">
        <v>302</v>
      </c>
      <c r="G35" s="172"/>
      <c r="H35" s="172"/>
      <c r="I35" s="172"/>
    </row>
    <row r="36" spans="1:9" x14ac:dyDescent="0.2">
      <c r="A36" s="29" t="str">
        <f>VLOOKUP(N1,'DATA LEMBUR'!$A$9:$DE$992,2,0)</f>
        <v>Wafa Azwaruddin Nur, dr</v>
      </c>
      <c r="B36" s="30">
        <v>1</v>
      </c>
      <c r="C36" s="30">
        <f>VLOOKUP(N1,'DATA LEMBUR'!$A$9:$DE$992,6,0)</f>
        <v>0</v>
      </c>
      <c r="D36" s="30">
        <f>VLOOKUP(N1,'DATA LEMBUR'!$A$9:$DE$992,7,0)</f>
        <v>0</v>
      </c>
      <c r="E36" s="30">
        <f>VLOOKUP(N1,'DATA LEMBUR'!$A$9:$DE$992,8,0)</f>
        <v>0</v>
      </c>
      <c r="F36" s="31">
        <f>VLOOKUP(N1,'DATA LEMBUR'!$A$9:$DE$992,106,0)</f>
        <v>0</v>
      </c>
      <c r="G36" s="173">
        <f>VLOOKUP(N1,'DATA LEMBUR'!$A$9:$DE$992,9,0)</f>
        <v>0</v>
      </c>
      <c r="H36" s="174" t="e">
        <f>VLOOKUP(Q1,'DATA LEMBUR'!$A$9:$DE$992,8,0)</f>
        <v>#N/A</v>
      </c>
      <c r="I36" s="31">
        <f>VLOOKUP(N1,'DATA LEMBUR'!$A$9:$DE$992,107,0)</f>
        <v>0</v>
      </c>
    </row>
    <row r="37" spans="1:9" x14ac:dyDescent="0.2">
      <c r="A37" s="29"/>
      <c r="B37" s="30">
        <v>2</v>
      </c>
      <c r="C37" s="30">
        <f>VLOOKUP(N1,'DATA LEMBUR'!$A$9:$DE$992,10,0)</f>
        <v>0</v>
      </c>
      <c r="D37" s="30">
        <f>VLOOKUP(N1,'DATA LEMBUR'!$A$9:$DE$992,11,0)</f>
        <v>0</v>
      </c>
      <c r="E37" s="30">
        <f>VLOOKUP(N1,'DATA LEMBUR'!$A$9:$DE$992,12,0)</f>
        <v>0</v>
      </c>
      <c r="F37" s="31">
        <f>VLOOKUP(N1,'DATA LEMBUR'!$A$9:$DE$992,106,0)</f>
        <v>0</v>
      </c>
      <c r="G37" s="173">
        <f>VLOOKUP(N1,'DATA LEMBUR'!$A$9:$DE$992,13,0)</f>
        <v>0</v>
      </c>
      <c r="H37" s="174"/>
      <c r="I37" s="31"/>
    </row>
    <row r="38" spans="1:9" x14ac:dyDescent="0.2">
      <c r="A38" s="29"/>
      <c r="B38" s="30">
        <v>3</v>
      </c>
      <c r="C38" s="30">
        <f>VLOOKUP(N1,'DATA LEMBUR'!$A$9:$DE$992,14,0)</f>
        <v>0</v>
      </c>
      <c r="D38" s="30">
        <f>VLOOKUP(N1,'DATA LEMBUR'!$A$9:$DE$992,15,0)</f>
        <v>0</v>
      </c>
      <c r="E38" s="30">
        <f>VLOOKUP(N1,'DATA LEMBUR'!$A$9:$DE$992,16,0)</f>
        <v>0</v>
      </c>
      <c r="F38" s="31">
        <f>VLOOKUP(N1,'DATA LEMBUR'!$A$9:$DE$992,106,0)</f>
        <v>0</v>
      </c>
      <c r="G38" s="173">
        <f>VLOOKUP(N1,'DATA LEMBUR'!$A$9:$DE$992,17,0)</f>
        <v>0</v>
      </c>
      <c r="H38" s="174"/>
      <c r="I38" s="31"/>
    </row>
    <row r="39" spans="1:9" x14ac:dyDescent="0.2">
      <c r="A39" s="29"/>
      <c r="B39" s="30">
        <v>4</v>
      </c>
      <c r="C39" s="30">
        <f>VLOOKUP(N1,'DATA LEMBUR'!$A$9:$DE$992,18,0)</f>
        <v>0</v>
      </c>
      <c r="D39" s="30">
        <f>VLOOKUP(N1,'DATA LEMBUR'!$A$9:$DE$992,19,0)</f>
        <v>0</v>
      </c>
      <c r="E39" s="30">
        <f>VLOOKUP(N1,'DATA LEMBUR'!$A$9:$DE$992,20,0)</f>
        <v>0</v>
      </c>
      <c r="F39" s="31">
        <f>VLOOKUP(N1,'DATA LEMBUR'!$A$9:$DE$992,106,0)</f>
        <v>0</v>
      </c>
      <c r="G39" s="173">
        <f>VLOOKUP(N1,'DATA LEMBUR'!$A$9:$DE$992,21,0)</f>
        <v>0</v>
      </c>
      <c r="H39" s="174"/>
      <c r="I39" s="31"/>
    </row>
    <row r="40" spans="1:9" x14ac:dyDescent="0.2">
      <c r="A40" s="29"/>
      <c r="B40" s="30">
        <v>5</v>
      </c>
      <c r="C40" s="30">
        <f>VLOOKUP(N1,'DATA LEMBUR'!$A$9:$DE$992,22,0)</f>
        <v>0</v>
      </c>
      <c r="D40" s="30">
        <f>VLOOKUP(N1,'DATA LEMBUR'!$A$9:$DE$992,23,0)</f>
        <v>0</v>
      </c>
      <c r="E40" s="30">
        <f>VLOOKUP(N1,'DATA LEMBUR'!$A$9:$DE$992,24,0)</f>
        <v>0</v>
      </c>
      <c r="F40" s="31">
        <f>VLOOKUP(N1,'DATA LEMBUR'!$A$9:$DE$992,106,0)</f>
        <v>0</v>
      </c>
      <c r="G40" s="173">
        <f>VLOOKUP(N1,'DATA LEMBUR'!$A$9:$DE$992,25,0)</f>
        <v>0</v>
      </c>
      <c r="H40" s="174"/>
      <c r="I40" s="31"/>
    </row>
    <row r="41" spans="1:9" x14ac:dyDescent="0.2">
      <c r="A41" s="29"/>
      <c r="B41" s="30">
        <v>6</v>
      </c>
      <c r="C41" s="30">
        <f>VLOOKUP(N1,'DATA LEMBUR'!$A$9:$DE$992,26,0)</f>
        <v>0</v>
      </c>
      <c r="D41" s="30">
        <f>VLOOKUP(N1,'DATA LEMBUR'!$A$9:$DE$992,27,0)</f>
        <v>0</v>
      </c>
      <c r="E41" s="30">
        <f>VLOOKUP(N1,'DATA LEMBUR'!$A$9:$DE$992,28,0)</f>
        <v>0</v>
      </c>
      <c r="F41" s="31">
        <f>VLOOKUP(N1,'DATA LEMBUR'!$A$9:$DE$992,106,0)</f>
        <v>0</v>
      </c>
      <c r="G41" s="189">
        <f>VLOOKUP(N1,'DATA LEMBUR'!$A$9:$DE$992,29,0)</f>
        <v>0</v>
      </c>
      <c r="H41" s="189"/>
      <c r="I41" s="31"/>
    </row>
    <row r="42" spans="1:9" x14ac:dyDescent="0.2">
      <c r="A42" s="29"/>
      <c r="B42" s="30">
        <v>7</v>
      </c>
      <c r="C42" s="30">
        <f>VLOOKUP(N1,'DATA LEMBUR'!$A$9:$DE$992,30,0)</f>
        <v>0</v>
      </c>
      <c r="D42" s="30">
        <f>VLOOKUP(N1,'DATA LEMBUR'!$A$9:$DE$992,31,0)</f>
        <v>0</v>
      </c>
      <c r="E42" s="30">
        <f>VLOOKUP(N1,'DATA LEMBUR'!$A$9:$DE$992,32,0)</f>
        <v>0</v>
      </c>
      <c r="F42" s="31">
        <f>VLOOKUP(N1,'DATA LEMBUR'!$A$9:$DE$992,106,0)</f>
        <v>0</v>
      </c>
      <c r="G42" s="173">
        <f>VLOOKUP(N1,'DATA LEMBUR'!$A$9:$DE$992,33,0)</f>
        <v>0</v>
      </c>
      <c r="H42" s="174"/>
      <c r="I42" s="31"/>
    </row>
    <row r="43" spans="1:9" x14ac:dyDescent="0.2">
      <c r="A43" s="29"/>
      <c r="B43" s="30">
        <v>8</v>
      </c>
      <c r="C43" s="30">
        <f>VLOOKUP(N1,'DATA LEMBUR'!$A$9:$DE$992,34,0)</f>
        <v>0</v>
      </c>
      <c r="D43" s="30">
        <f>VLOOKUP(N1,'DATA LEMBUR'!$A$9:$DE$992,35,0)</f>
        <v>0</v>
      </c>
      <c r="E43" s="30">
        <f>VLOOKUP(N1,'DATA LEMBUR'!$A$9:$DE$992,36,0)</f>
        <v>0</v>
      </c>
      <c r="F43" s="31">
        <f>VLOOKUP(N1,'DATA LEMBUR'!$A$9:$DE$992,106,0)</f>
        <v>0</v>
      </c>
      <c r="G43" s="173">
        <f>VLOOKUP(N1,'DATA LEMBUR'!$A$9:$DE$992,37,0)</f>
        <v>0</v>
      </c>
      <c r="H43" s="174"/>
      <c r="I43" s="31"/>
    </row>
    <row r="44" spans="1:9" x14ac:dyDescent="0.2">
      <c r="A44" s="29"/>
      <c r="B44" s="30">
        <v>9</v>
      </c>
      <c r="C44" s="30">
        <f>VLOOKUP(N1,'DATA LEMBUR'!$A$9:$DE$992,38,0)</f>
        <v>0</v>
      </c>
      <c r="D44" s="30">
        <f>VLOOKUP(N1,'DATA LEMBUR'!$A$9:$DE$992,39,0)</f>
        <v>0</v>
      </c>
      <c r="E44" s="30">
        <f>VLOOKUP(N1,'DATA LEMBUR'!$A$9:$DE$992,40,0)</f>
        <v>0</v>
      </c>
      <c r="F44" s="31">
        <f>VLOOKUP(N1,'DATA LEMBUR'!$A$9:$DE$992,106,0)</f>
        <v>0</v>
      </c>
      <c r="G44" s="173">
        <f>VLOOKUP(N1,'DATA LEMBUR'!$A$9:$DE$992,41,0)</f>
        <v>0</v>
      </c>
      <c r="H44" s="174"/>
      <c r="I44" s="31"/>
    </row>
    <row r="45" spans="1:9" x14ac:dyDescent="0.2">
      <c r="A45" s="29"/>
      <c r="B45" s="30">
        <v>10</v>
      </c>
      <c r="C45" s="30">
        <f>VLOOKUP(N1,'DATA LEMBUR'!$A$9:$DE$992,42,0)</f>
        <v>0</v>
      </c>
      <c r="D45" s="30">
        <f>VLOOKUP(N1,'DATA LEMBUR'!$A$9:$DE$992,43,0)</f>
        <v>0</v>
      </c>
      <c r="E45" s="30">
        <f>VLOOKUP(N1,'DATA LEMBUR'!$A$9:$DE$992,44,0)</f>
        <v>0</v>
      </c>
      <c r="F45" s="31">
        <f>VLOOKUP(N1,'DATA LEMBUR'!$A$9:$DE$992,106,0)</f>
        <v>0</v>
      </c>
      <c r="G45" s="173">
        <f>VLOOKUP(N1,'DATA LEMBUR'!$A$9:$DE$992,45,0)</f>
        <v>0</v>
      </c>
      <c r="H45" s="174"/>
      <c r="I45" s="31"/>
    </row>
    <row r="46" spans="1:9" x14ac:dyDescent="0.2">
      <c r="A46" s="29"/>
      <c r="B46" s="30">
        <v>11</v>
      </c>
      <c r="C46" s="30">
        <f>VLOOKUP(N1,'DATA LEMBUR'!$A$9:$DE$992,46,0)</f>
        <v>0</v>
      </c>
      <c r="D46" s="30">
        <f>VLOOKUP(N1,'DATA LEMBUR'!$A$9:$DE$992,47,0)</f>
        <v>0</v>
      </c>
      <c r="E46" s="30">
        <f>VLOOKUP(N1,'DATA LEMBUR'!$A$9:$DE$992,48,0)</f>
        <v>0</v>
      </c>
      <c r="F46" s="31">
        <f>VLOOKUP(N1,'DATA LEMBUR'!$A$9:$DE$992,106,0)</f>
        <v>0</v>
      </c>
      <c r="G46" s="173">
        <f>VLOOKUP(N1,'DATA LEMBUR'!$A$9:$DE$992,49,0)</f>
        <v>0</v>
      </c>
      <c r="H46" s="174"/>
      <c r="I46" s="31"/>
    </row>
    <row r="47" spans="1:9" x14ac:dyDescent="0.2">
      <c r="A47" s="29"/>
      <c r="B47" s="30">
        <v>12</v>
      </c>
      <c r="C47" s="30">
        <f>VLOOKUP(N1,'DATA LEMBUR'!$A$9:$DE$992,50,0)</f>
        <v>0</v>
      </c>
      <c r="D47" s="30">
        <f>VLOOKUP(N1,'DATA LEMBUR'!$A$9:$DE$992,51,0)</f>
        <v>0</v>
      </c>
      <c r="E47" s="30">
        <f>VLOOKUP(N1,'DATA LEMBUR'!$A$9:$DE$992,52,0)</f>
        <v>0</v>
      </c>
      <c r="F47" s="31">
        <f>VLOOKUP(N1,'DATA LEMBUR'!$A$9:$DE$992,106,0)</f>
        <v>0</v>
      </c>
      <c r="G47" s="173">
        <f>VLOOKUP(N1,'DATA LEMBUR'!$A$9:$DE$992,53,0)</f>
        <v>0</v>
      </c>
      <c r="H47" s="174"/>
      <c r="I47" s="31"/>
    </row>
    <row r="48" spans="1:9" x14ac:dyDescent="0.2">
      <c r="A48" s="29"/>
      <c r="B48" s="30">
        <v>13</v>
      </c>
      <c r="C48" s="30">
        <f>VLOOKUP(N1,'DATA LEMBUR'!$A$9:$DE$992,54,0)</f>
        <v>0</v>
      </c>
      <c r="D48" s="30">
        <f>VLOOKUP(N1,'DATA LEMBUR'!$A$9:$DE$992,55,0)</f>
        <v>0</v>
      </c>
      <c r="E48" s="30">
        <f>VLOOKUP(N1,'DATA LEMBUR'!$A$9:$DE$992,56,0)</f>
        <v>0</v>
      </c>
      <c r="F48" s="31">
        <f>VLOOKUP(N1,'DATA LEMBUR'!$A$9:$DE$992,106,0)</f>
        <v>0</v>
      </c>
      <c r="G48" s="173">
        <f>VLOOKUP(N1,'DATA LEMBUR'!$A$9:$DE$992,57,0)</f>
        <v>0</v>
      </c>
      <c r="H48" s="174"/>
      <c r="I48" s="31"/>
    </row>
    <row r="49" spans="1:9" x14ac:dyDescent="0.2">
      <c r="A49" s="29"/>
      <c r="B49" s="30">
        <v>14</v>
      </c>
      <c r="C49" s="30">
        <f>VLOOKUP(N1,'DATA LEMBUR'!$A$9:$DE$992,58,0)</f>
        <v>0</v>
      </c>
      <c r="D49" s="30">
        <f>VLOOKUP(N1,'DATA LEMBUR'!$A$9:$DE$992,59,0)</f>
        <v>0</v>
      </c>
      <c r="E49" s="30">
        <f>VLOOKUP(N1,'DATA LEMBUR'!$A$9:$DE$992,60,0)</f>
        <v>0</v>
      </c>
      <c r="F49" s="31">
        <f>VLOOKUP(N1,'DATA LEMBUR'!$A$9:$DE$992,106,0)</f>
        <v>0</v>
      </c>
      <c r="G49" s="173">
        <f>VLOOKUP(N1,'DATA LEMBUR'!$A$9:$DE$992,61,0)</f>
        <v>0</v>
      </c>
      <c r="H49" s="174"/>
      <c r="I49" s="31"/>
    </row>
    <row r="50" spans="1:9" x14ac:dyDescent="0.2">
      <c r="A50" s="29"/>
      <c r="B50" s="30">
        <v>15</v>
      </c>
      <c r="C50" s="30">
        <f>VLOOKUP(N1,'DATA LEMBUR'!$A$9:$DE$992,62,0)</f>
        <v>0</v>
      </c>
      <c r="D50" s="30">
        <f>VLOOKUP(N1,'DATA LEMBUR'!$A$9:$DE$992,63,0)</f>
        <v>0</v>
      </c>
      <c r="E50" s="30">
        <f>VLOOKUP(N1,'DATA LEMBUR'!$A$9:$DE$992,64,0)</f>
        <v>0</v>
      </c>
      <c r="F50" s="31">
        <f>VLOOKUP(N1,'DATA LEMBUR'!$A$9:$DE$992,106,0)</f>
        <v>0</v>
      </c>
      <c r="G50" s="173">
        <f>VLOOKUP(N1,'DATA LEMBUR'!$A$9:$DE$992,65,0)</f>
        <v>0</v>
      </c>
      <c r="H50" s="174"/>
      <c r="I50" s="31"/>
    </row>
    <row r="51" spans="1:9" x14ac:dyDescent="0.2">
      <c r="A51" s="22"/>
      <c r="B51" s="30">
        <v>16</v>
      </c>
      <c r="C51" s="30">
        <f>VLOOKUP(N1,'DATA LEMBUR'!$A$9:$DE$992,66,0)</f>
        <v>0</v>
      </c>
      <c r="D51" s="30">
        <f>VLOOKUP(N1,'DATA LEMBUR'!$A$9:$DE$992,67,0)</f>
        <v>0</v>
      </c>
      <c r="E51" s="30">
        <f>VLOOKUP(N1,'DATA LEMBUR'!$A$9:$DE$992,68,0)</f>
        <v>0</v>
      </c>
      <c r="F51" s="31">
        <f>VLOOKUP(N1,'DATA LEMBUR'!$A$9:$DE$992,106,0)</f>
        <v>0</v>
      </c>
      <c r="G51" s="173">
        <f>VLOOKUP(N1,'DATA LEMBUR'!$A$9:$DE$992,69,0)</f>
        <v>0</v>
      </c>
      <c r="H51" s="174"/>
      <c r="I51" s="22"/>
    </row>
    <row r="52" spans="1:9" x14ac:dyDescent="0.2">
      <c r="A52" s="22"/>
      <c r="B52" s="30">
        <v>17</v>
      </c>
      <c r="C52" s="30">
        <f>VLOOKUP(N1,'DATA LEMBUR'!$A$9:$DE$992,70,0)</f>
        <v>0</v>
      </c>
      <c r="D52" s="30">
        <f>VLOOKUP(N1,'DATA LEMBUR'!$A$9:$DE$992,71,0)</f>
        <v>0</v>
      </c>
      <c r="E52" s="30">
        <f>VLOOKUP(N1,'DATA LEMBUR'!$A$9:$DE$992,72,0)</f>
        <v>0</v>
      </c>
      <c r="F52" s="31">
        <f>VLOOKUP(N1,'DATA LEMBUR'!$A$9:$DE$992,106,0)</f>
        <v>0</v>
      </c>
      <c r="G52" s="173">
        <f>VLOOKUP(N1,'DATA LEMBUR'!$A$9:$DE$992,73,0)</f>
        <v>0</v>
      </c>
      <c r="H52" s="174"/>
      <c r="I52" s="22"/>
    </row>
    <row r="53" spans="1:9" x14ac:dyDescent="0.2">
      <c r="A53" s="22"/>
      <c r="B53" s="30">
        <v>18</v>
      </c>
      <c r="C53" s="30">
        <f>VLOOKUP(N1,'DATA LEMBUR'!$A$9:$DE$992,74,0)</f>
        <v>0</v>
      </c>
      <c r="D53" s="30">
        <f>VLOOKUP(N1,'DATA LEMBUR'!$A$9:$DE$992,75,0)</f>
        <v>0</v>
      </c>
      <c r="E53" s="30">
        <f>VLOOKUP(N1,'DATA LEMBUR'!$A$9:$DE$992,76,0)</f>
        <v>0</v>
      </c>
      <c r="F53" s="31">
        <f>VLOOKUP(N1,'DATA LEMBUR'!$A$9:$DE$992,106,0)</f>
        <v>0</v>
      </c>
      <c r="G53" s="173">
        <f>VLOOKUP(N1,'DATA LEMBUR'!$A$9:$DE$992,77,0)</f>
        <v>0</v>
      </c>
      <c r="H53" s="174"/>
      <c r="I53" s="22"/>
    </row>
    <row r="54" spans="1:9" x14ac:dyDescent="0.2">
      <c r="A54" s="22"/>
      <c r="B54" s="30">
        <v>19</v>
      </c>
      <c r="C54" s="30">
        <f>VLOOKUP(N1,'DATA LEMBUR'!$A$9:$DE$992,78,0)</f>
        <v>0</v>
      </c>
      <c r="D54" s="30">
        <f>VLOOKUP(N1,'DATA LEMBUR'!$A$9:$DE$992,79,0)</f>
        <v>0</v>
      </c>
      <c r="E54" s="30">
        <f>VLOOKUP(N1,'DATA LEMBUR'!$A$9:$DE$992,80,0)</f>
        <v>0</v>
      </c>
      <c r="F54" s="31">
        <f>VLOOKUP(N1,'DATA LEMBUR'!$A$9:$DE$992,106,0)</f>
        <v>0</v>
      </c>
      <c r="G54" s="173">
        <f>VLOOKUP(N1,'DATA LEMBUR'!$A$9:$DE$992,81,0)</f>
        <v>0</v>
      </c>
      <c r="H54" s="174"/>
      <c r="I54" s="22"/>
    </row>
    <row r="55" spans="1:9" x14ac:dyDescent="0.2">
      <c r="A55" s="22"/>
      <c r="B55" s="30">
        <v>20</v>
      </c>
      <c r="C55" s="30">
        <f>VLOOKUP(N1,'DATA LEMBUR'!$A$9:$DE$992,82,0)</f>
        <v>0</v>
      </c>
      <c r="D55" s="30">
        <f>VLOOKUP(N1,'DATA LEMBUR'!$A$9:$DE$992,83,0)</f>
        <v>0</v>
      </c>
      <c r="E55" s="30">
        <f>VLOOKUP(N1,'DATA LEMBUR'!$A$9:$DE$992,84,0)</f>
        <v>0</v>
      </c>
      <c r="F55" s="31">
        <f>VLOOKUP(N1,'DATA LEMBUR'!$A$9:$DE$992,106,0)</f>
        <v>0</v>
      </c>
      <c r="G55" s="173">
        <f>VLOOKUP(N1,'DATA LEMBUR'!$A$9:$DE$992,85,0)</f>
        <v>0</v>
      </c>
      <c r="H55" s="174"/>
      <c r="I55" s="22"/>
    </row>
    <row r="56" spans="1:9" x14ac:dyDescent="0.2">
      <c r="A56" s="22"/>
      <c r="B56" s="30">
        <v>21</v>
      </c>
      <c r="C56" s="30">
        <f>VLOOKUP(N1,'DATA LEMBUR'!$A$9:$DE$992,86,0)</f>
        <v>0</v>
      </c>
      <c r="D56" s="30">
        <f>VLOOKUP(N1,'DATA LEMBUR'!$A$9:$DE$992,87,0)</f>
        <v>0</v>
      </c>
      <c r="E56" s="30">
        <f>VLOOKUP(N1,'DATA LEMBUR'!$A$9:$DE$992,88,0)</f>
        <v>0</v>
      </c>
      <c r="F56" s="31">
        <f>VLOOKUP(N1,'DATA LEMBUR'!$A$9:$DE$992,106,0)</f>
        <v>0</v>
      </c>
      <c r="G56" s="173">
        <f>VLOOKUP(N1,'DATA LEMBUR'!$A$9:$DE$992,89,0)</f>
        <v>0</v>
      </c>
      <c r="H56" s="174"/>
      <c r="I56" s="22"/>
    </row>
    <row r="57" spans="1:9" x14ac:dyDescent="0.2">
      <c r="A57" s="22"/>
      <c r="B57" s="30">
        <v>22</v>
      </c>
      <c r="C57" s="30">
        <f>VLOOKUP(N1,'DATA LEMBUR'!$A$9:$DE$992,90,0)</f>
        <v>0</v>
      </c>
      <c r="D57" s="30">
        <f>VLOOKUP(N1,'DATA LEMBUR'!$A$9:$DE$992,91,0)</f>
        <v>0</v>
      </c>
      <c r="E57" s="30">
        <f>VLOOKUP(N1,'DATA LEMBUR'!$A$9:$DE$992,92,0)</f>
        <v>0</v>
      </c>
      <c r="F57" s="31">
        <f>VLOOKUP(N1,'DATA LEMBUR'!$A$9:$DE$992,106,0)</f>
        <v>0</v>
      </c>
      <c r="G57" s="173">
        <f>VLOOKUP(N1,'DATA LEMBUR'!$A$9:$DE$992,93,0)</f>
        <v>0</v>
      </c>
      <c r="H57" s="174"/>
      <c r="I57" s="22"/>
    </row>
    <row r="58" spans="1:9" x14ac:dyDescent="0.2">
      <c r="A58" s="22"/>
      <c r="B58" s="30">
        <v>23</v>
      </c>
      <c r="C58" s="30">
        <f>VLOOKUP(N1,'DATA LEMBUR'!$A$9:$DE$992,94,0)</f>
        <v>0</v>
      </c>
      <c r="D58" s="30">
        <f>VLOOKUP(N1,'DATA LEMBUR'!$A$9:$DE$992,95,0)</f>
        <v>0</v>
      </c>
      <c r="E58" s="30">
        <f>VLOOKUP(N1,'DATA LEMBUR'!$A$9:$DE$992,96,0)</f>
        <v>0</v>
      </c>
      <c r="F58" s="31">
        <f>VLOOKUP(N1,'DATA LEMBUR'!$A$9:$DE$992,106,0)</f>
        <v>0</v>
      </c>
      <c r="G58" s="173">
        <f>VLOOKUP(N1,'DATA LEMBUR'!$A$9:$DE$992,97,0)</f>
        <v>0</v>
      </c>
      <c r="H58" s="174"/>
      <c r="I58" s="22"/>
    </row>
    <row r="59" spans="1:9" x14ac:dyDescent="0.2">
      <c r="A59" s="22"/>
      <c r="B59" s="30">
        <v>24</v>
      </c>
      <c r="C59" s="30">
        <f>VLOOKUP(N1,'DATA LEMBUR'!$A$9:$DE$992,98,0)</f>
        <v>0</v>
      </c>
      <c r="D59" s="30">
        <f>VLOOKUP(N1,'DATA LEMBUR'!$A$9:$DE$992,99,0)</f>
        <v>0</v>
      </c>
      <c r="E59" s="30">
        <f>VLOOKUP(N1,'DATA LEMBUR'!$A$9:$DE$992,100,0)</f>
        <v>0</v>
      </c>
      <c r="F59" s="31">
        <f>VLOOKUP(N1,'DATA LEMBUR'!$A$9:$DE$992,106,0)</f>
        <v>0</v>
      </c>
      <c r="G59" s="173">
        <f>VLOOKUP(N1,'DATA LEMBUR'!$A$9:$DE$992,101,0)</f>
        <v>0</v>
      </c>
      <c r="H59" s="174"/>
      <c r="I59" s="22"/>
    </row>
    <row r="60" spans="1:9" x14ac:dyDescent="0.2">
      <c r="A60" s="22"/>
      <c r="B60" s="30">
        <v>25</v>
      </c>
      <c r="C60" s="30">
        <f>VLOOKUP(N1,'DATA LEMBUR'!$A$9:$DE$992,102,0)</f>
        <v>0</v>
      </c>
      <c r="D60" s="30">
        <f>VLOOKUP(N1,'DATA LEMBUR'!$A$9:$DE$992,103,0)</f>
        <v>0</v>
      </c>
      <c r="E60" s="30">
        <f>VLOOKUP(N1,'DATA LEMBUR'!$A$9:$DE$992,104,0)</f>
        <v>0</v>
      </c>
      <c r="F60" s="31">
        <f>VLOOKUP(N1,'DATA LEMBUR'!$A$9:$DE$992,106,0)</f>
        <v>0</v>
      </c>
      <c r="G60" s="173">
        <f>VLOOKUP(N1,'DATA LEMBUR'!$A$9:$DE$992,105,0)</f>
        <v>0</v>
      </c>
      <c r="H60" s="174"/>
      <c r="I60" s="22"/>
    </row>
    <row r="254" spans="11:11" x14ac:dyDescent="0.2">
      <c r="K254" s="4" t="e">
        <f>'SLIP GAJI'!A35:I40</f>
        <v>#VALUE!</v>
      </c>
    </row>
  </sheetData>
  <mergeCells count="43">
    <mergeCell ref="G56:H56"/>
    <mergeCell ref="G57:H57"/>
    <mergeCell ref="G58:H58"/>
    <mergeCell ref="G59:H59"/>
    <mergeCell ref="G60:H60"/>
    <mergeCell ref="G51:H51"/>
    <mergeCell ref="G52:H52"/>
    <mergeCell ref="G53:H53"/>
    <mergeCell ref="G54:H54"/>
    <mergeCell ref="G55:H55"/>
    <mergeCell ref="N3:O3"/>
    <mergeCell ref="N5:O5"/>
    <mergeCell ref="G45:H45"/>
    <mergeCell ref="G44:H44"/>
    <mergeCell ref="G43:H43"/>
    <mergeCell ref="G42:H42"/>
    <mergeCell ref="N4:O4"/>
    <mergeCell ref="G41:H41"/>
    <mergeCell ref="I34:I35"/>
    <mergeCell ref="C23:D23"/>
    <mergeCell ref="C7:E7"/>
    <mergeCell ref="G50:H50"/>
    <mergeCell ref="G49:H49"/>
    <mergeCell ref="G48:H48"/>
    <mergeCell ref="G47:H47"/>
    <mergeCell ref="G46:H46"/>
    <mergeCell ref="C26:G27"/>
    <mergeCell ref="C6:D6"/>
    <mergeCell ref="H6:I6"/>
    <mergeCell ref="B34:B35"/>
    <mergeCell ref="A34:A35"/>
    <mergeCell ref="G40:H40"/>
    <mergeCell ref="G39:H39"/>
    <mergeCell ref="G38:H38"/>
    <mergeCell ref="G36:H36"/>
    <mergeCell ref="G34:H35"/>
    <mergeCell ref="E34:E35"/>
    <mergeCell ref="D34:D35"/>
    <mergeCell ref="C34:C35"/>
    <mergeCell ref="G37:H37"/>
    <mergeCell ref="C25:D25"/>
    <mergeCell ref="H7:I8"/>
    <mergeCell ref="C24:D24"/>
  </mergeCells>
  <printOptions horizontalCentered="1"/>
  <pageMargins left="0.59055118110236204" right="0.59055118110236204" top="0.78740157480314998" bottom="0.59055118110236204" header="0.31496062992126" footer="0.31496062992126"/>
  <pageSetup paperSize="9" scale="105" orientation="landscape" horizontalDpi="4294967293" r:id="rId1"/>
  <rowBreaks count="1" manualBreakCount="1">
    <brk id="28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ETAK">
                <anchor moveWithCells="1" sizeWithCells="1">
                  <from>
                    <xdr:col>10</xdr:col>
                    <xdr:colOff>0</xdr:colOff>
                    <xdr:row>7</xdr:row>
                    <xdr:rowOff>63500</xdr:rowOff>
                  </from>
                  <to>
                    <xdr:col>11</xdr:col>
                    <xdr:colOff>177800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etakSemua">
                <anchor moveWithCells="1" sizeWithCells="1">
                  <from>
                    <xdr:col>11</xdr:col>
                    <xdr:colOff>241300</xdr:colOff>
                    <xdr:row>7</xdr:row>
                    <xdr:rowOff>63500</xdr:rowOff>
                  </from>
                  <to>
                    <xdr:col>12</xdr:col>
                    <xdr:colOff>419100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Awal">
                <anchor moveWithCells="1" sizeWithCells="1">
                  <from>
                    <xdr:col>10</xdr:col>
                    <xdr:colOff>12700</xdr:colOff>
                    <xdr:row>1</xdr:row>
                    <xdr:rowOff>25400</xdr:rowOff>
                  </from>
                  <to>
                    <xdr:col>10</xdr:col>
                    <xdr:colOff>368300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Sebelumnya">
                <anchor moveWithCells="1" sizeWithCells="1">
                  <from>
                    <xdr:col>10</xdr:col>
                    <xdr:colOff>431800</xdr:colOff>
                    <xdr:row>1</xdr:row>
                    <xdr:rowOff>25400</xdr:rowOff>
                  </from>
                  <to>
                    <xdr:col>11</xdr:col>
                    <xdr:colOff>190500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erikutnya">
                <anchor moveWithCells="1" sizeWithCells="1">
                  <from>
                    <xdr:col>11</xdr:col>
                    <xdr:colOff>254000</xdr:colOff>
                    <xdr:row>1</xdr:row>
                    <xdr:rowOff>25400</xdr:rowOff>
                  </from>
                  <to>
                    <xdr:col>12</xdr:col>
                    <xdr:colOff>12700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Akhir">
                <anchor moveWithCells="1" sizeWithCells="1">
                  <from>
                    <xdr:col>12</xdr:col>
                    <xdr:colOff>76200</xdr:colOff>
                    <xdr:row>1</xdr:row>
                    <xdr:rowOff>25400</xdr:rowOff>
                  </from>
                  <to>
                    <xdr:col>12</xdr:col>
                    <xdr:colOff>419100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Lihat">
                <anchor moveWithCells="1" sizeWithCells="1">
                  <from>
                    <xdr:col>10</xdr:col>
                    <xdr:colOff>0</xdr:colOff>
                    <xdr:row>5</xdr:row>
                    <xdr:rowOff>63500</xdr:rowOff>
                  </from>
                  <to>
                    <xdr:col>12</xdr:col>
                    <xdr:colOff>419100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ExportSatuKePDF">
                <anchor moveWithCells="1" sizeWithCells="1">
                  <from>
                    <xdr:col>10</xdr:col>
                    <xdr:colOff>0</xdr:colOff>
                    <xdr:row>9</xdr:row>
                    <xdr:rowOff>139700</xdr:rowOff>
                  </from>
                  <to>
                    <xdr:col>12</xdr:col>
                    <xdr:colOff>406400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CariKaryawan">
                <anchor moveWithCells="1" sizeWithCells="1">
                  <from>
                    <xdr:col>10</xdr:col>
                    <xdr:colOff>0</xdr:colOff>
                    <xdr:row>3</xdr:row>
                    <xdr:rowOff>63500</xdr:rowOff>
                  </from>
                  <to>
                    <xdr:col>12</xdr:col>
                    <xdr:colOff>406400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ExportSemuaKePDF">
                <anchor moveWithCells="1" sizeWithCells="1">
                  <from>
                    <xdr:col>10</xdr:col>
                    <xdr:colOff>0</xdr:colOff>
                    <xdr:row>12</xdr:row>
                    <xdr:rowOff>165100</xdr:rowOff>
                  </from>
                  <to>
                    <xdr:col>12</xdr:col>
                    <xdr:colOff>419100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[0]!KirimWhatsappSemuaKaryawan">
                <anchor moveWithCells="1" sizeWithCells="1">
                  <from>
                    <xdr:col>12</xdr:col>
                    <xdr:colOff>927100</xdr:colOff>
                    <xdr:row>12</xdr:row>
                    <xdr:rowOff>25400</xdr:rowOff>
                  </from>
                  <to>
                    <xdr:col>13</xdr:col>
                    <xdr:colOff>977900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Button 17">
              <controlPr defaultSize="0" print="0" autoFill="0" autoPict="0" macro="[0]!KirimWhatsappSatuSaja">
                <anchor moveWithCells="1" sizeWithCells="1">
                  <from>
                    <xdr:col>12</xdr:col>
                    <xdr:colOff>939800</xdr:colOff>
                    <xdr:row>7</xdr:row>
                    <xdr:rowOff>63500</xdr:rowOff>
                  </from>
                  <to>
                    <xdr:col>13</xdr:col>
                    <xdr:colOff>1003300</xdr:colOff>
                    <xdr:row>11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[0]!KirimWhatsappBeberapa">
                <anchor moveWithCells="1" sizeWithCells="1">
                  <from>
                    <xdr:col>12</xdr:col>
                    <xdr:colOff>927100</xdr:colOff>
                    <xdr:row>16</xdr:row>
                    <xdr:rowOff>165100</xdr:rowOff>
                  </from>
                  <to>
                    <xdr:col>13</xdr:col>
                    <xdr:colOff>977900</xdr:colOff>
                    <xdr:row>20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 GAJI</vt:lpstr>
      <vt:lpstr>DATA LEMBUR</vt:lpstr>
      <vt:lpstr>LEMBUR</vt:lpstr>
      <vt:lpstr>SLIP GAJI</vt:lpstr>
      <vt:lpstr>'SLIP GAJI'!Print_Area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azzaury</dc:creator>
  <cp:lastModifiedBy>Doni Firmansyah</cp:lastModifiedBy>
  <cp:lastPrinted>2023-05-03T02:00:09Z</cp:lastPrinted>
  <dcterms:created xsi:type="dcterms:W3CDTF">2019-04-06T05:40:30Z</dcterms:created>
  <dcterms:modified xsi:type="dcterms:W3CDTF">2023-07-27T01:27:46Z</dcterms:modified>
</cp:coreProperties>
</file>